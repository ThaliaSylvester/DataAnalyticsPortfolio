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man/Desktop/"/>
    </mc:Choice>
  </mc:AlternateContent>
  <xr:revisionPtr revIDLastSave="0" documentId="8_{2AA123E8-09C2-3D46-B7BD-BB76A5E3FE3C}" xr6:coauthVersionLast="47" xr6:coauthVersionMax="47" xr10:uidLastSave="{00000000-0000-0000-0000-000000000000}"/>
  <bookViews>
    <workbookView xWindow="7820" yWindow="500" windowWidth="17900" windowHeight="16340" activeTab="2" xr2:uid="{00000000-000D-0000-FFFF-FFFF00000000}"/>
  </bookViews>
  <sheets>
    <sheet name="ROI_analysis " sheetId="4" r:id="rId1"/>
    <sheet name="Sensitivity_analysis " sheetId="8" r:id="rId2"/>
    <sheet name="More Excel functions 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4" i="4" l="1"/>
  <c r="K18" i="4"/>
  <c r="K17" i="4"/>
  <c r="K16" i="4"/>
  <c r="K15" i="4"/>
  <c r="K13" i="4"/>
  <c r="K14" i="4"/>
  <c r="J13" i="4"/>
  <c r="K36" i="4"/>
  <c r="K37" i="4" s="1"/>
  <c r="K35" i="4"/>
  <c r="K34" i="4"/>
  <c r="K33" i="4"/>
  <c r="K30" i="4"/>
  <c r="K31" i="4"/>
  <c r="K29" i="4"/>
  <c r="K28" i="4"/>
  <c r="J42" i="4"/>
  <c r="J36" i="4"/>
  <c r="J31" i="4"/>
  <c r="J30" i="4"/>
  <c r="J29" i="4"/>
  <c r="J28" i="4"/>
  <c r="I36" i="4"/>
  <c r="I35" i="4"/>
  <c r="I34" i="4"/>
  <c r="I31" i="4"/>
  <c r="I30" i="4"/>
  <c r="I29" i="4"/>
  <c r="J16" i="4"/>
  <c r="J18" i="4" s="1"/>
  <c r="J19" i="4" s="1"/>
  <c r="J20" i="4" s="1"/>
  <c r="J21" i="4" s="1"/>
  <c r="I17" i="4"/>
  <c r="K27" i="4"/>
  <c r="J34" i="4"/>
  <c r="J35" i="4" s="1"/>
  <c r="J33" i="4"/>
  <c r="J27" i="4"/>
  <c r="H42" i="4"/>
  <c r="I33" i="4"/>
  <c r="I28" i="4"/>
  <c r="I27" i="4"/>
  <c r="H34" i="4"/>
  <c r="H36" i="4" s="1"/>
  <c r="H37" i="4" s="1"/>
  <c r="J17" i="4"/>
  <c r="I19" i="4"/>
  <c r="I18" i="4"/>
  <c r="I20" i="4" s="1"/>
  <c r="I15" i="4"/>
  <c r="J15" i="4"/>
  <c r="J14" i="4"/>
  <c r="I12" i="8"/>
  <c r="J12" i="8" s="1"/>
  <c r="K12" i="8" s="1"/>
  <c r="H13" i="8" s="1"/>
  <c r="I14" i="4"/>
  <c r="I16" i="4"/>
  <c r="G3" i="9"/>
  <c r="G4" i="9"/>
  <c r="G5" i="9"/>
  <c r="G6" i="9"/>
  <c r="G7" i="9"/>
  <c r="G8" i="9"/>
  <c r="G9" i="9"/>
  <c r="G10" i="9"/>
  <c r="G11" i="9"/>
  <c r="G12" i="9"/>
  <c r="G13" i="9"/>
  <c r="G2" i="9"/>
  <c r="F3" i="9"/>
  <c r="F4" i="9"/>
  <c r="F5" i="9"/>
  <c r="F6" i="9"/>
  <c r="F7" i="9"/>
  <c r="F8" i="9"/>
  <c r="F9" i="9"/>
  <c r="F10" i="9"/>
  <c r="F11" i="9"/>
  <c r="F12" i="9"/>
  <c r="F13" i="9"/>
  <c r="F2" i="9"/>
  <c r="E3" i="9"/>
  <c r="E4" i="9"/>
  <c r="E5" i="9"/>
  <c r="E6" i="9"/>
  <c r="E7" i="9"/>
  <c r="E8" i="9"/>
  <c r="E9" i="9"/>
  <c r="E10" i="9"/>
  <c r="E11" i="9"/>
  <c r="E12" i="9"/>
  <c r="E13" i="9"/>
  <c r="E2" i="9"/>
  <c r="B12" i="8"/>
  <c r="E12" i="8" s="1"/>
  <c r="I3" i="9"/>
  <c r="I4" i="9"/>
  <c r="I5" i="9"/>
  <c r="I6" i="9"/>
  <c r="I7" i="9"/>
  <c r="I8" i="9"/>
  <c r="I9" i="9"/>
  <c r="I10" i="9"/>
  <c r="I11" i="9"/>
  <c r="I12" i="9"/>
  <c r="I13" i="9"/>
  <c r="I2" i="9"/>
  <c r="H32" i="4"/>
  <c r="H21" i="4"/>
  <c r="K19" i="4" l="1"/>
  <c r="J37" i="4"/>
  <c r="I37" i="4"/>
  <c r="I13" i="8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D12" i="8"/>
  <c r="F12" i="8" s="1"/>
  <c r="G12" i="8" s="1"/>
  <c r="B13" i="8"/>
  <c r="A13" i="8"/>
  <c r="K20" i="4" l="1"/>
  <c r="K21" i="4" s="1"/>
  <c r="K42" i="4" s="1"/>
  <c r="C13" i="8"/>
  <c r="L12" i="8"/>
  <c r="J13" i="8"/>
  <c r="K13" i="8" s="1"/>
  <c r="H14" i="8" s="1"/>
  <c r="D13" i="8"/>
  <c r="E13" i="8"/>
  <c r="A14" i="8"/>
  <c r="B14" i="8"/>
  <c r="I21" i="4"/>
  <c r="I42" i="4" s="1"/>
  <c r="I13" i="4"/>
  <c r="F13" i="8" l="1"/>
  <c r="G13" i="8" s="1"/>
  <c r="C14" i="8" s="1"/>
  <c r="J14" i="8"/>
  <c r="K14" i="8" s="1"/>
  <c r="H15" i="8" s="1"/>
  <c r="J15" i="8" s="1"/>
  <c r="E14" i="8"/>
  <c r="D14" i="8"/>
  <c r="A15" i="8"/>
  <c r="B15" i="8"/>
  <c r="F14" i="8" l="1"/>
  <c r="G14" i="8" s="1"/>
  <c r="C15" i="8" s="1"/>
  <c r="L13" i="8"/>
  <c r="K15" i="8"/>
  <c r="H16" i="8" s="1"/>
  <c r="E15" i="8"/>
  <c r="D15" i="8"/>
  <c r="A16" i="8"/>
  <c r="B16" i="8"/>
  <c r="L14" i="8" l="1"/>
  <c r="J16" i="8"/>
  <c r="F15" i="8"/>
  <c r="G15" i="8" s="1"/>
  <c r="D16" i="8"/>
  <c r="E16" i="8"/>
  <c r="A17" i="8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B17" i="8"/>
  <c r="C16" i="8" l="1"/>
  <c r="L15" i="8"/>
  <c r="K16" i="8"/>
  <c r="H17" i="8" s="1"/>
  <c r="F16" i="8"/>
  <c r="G16" i="8" s="1"/>
  <c r="B18" i="8"/>
  <c r="D17" i="8"/>
  <c r="E17" i="8"/>
  <c r="C17" i="8" l="1"/>
  <c r="F17" i="8" s="1"/>
  <c r="G17" i="8" s="1"/>
  <c r="L16" i="8"/>
  <c r="J17" i="8"/>
  <c r="K17" i="8" s="1"/>
  <c r="B19" i="8"/>
  <c r="E18" i="8"/>
  <c r="D18" i="8"/>
  <c r="C18" i="8" l="1"/>
  <c r="F18" i="8" s="1"/>
  <c r="G18" i="8" s="1"/>
  <c r="L17" i="8"/>
  <c r="H18" i="8"/>
  <c r="B20" i="8"/>
  <c r="E19" i="8"/>
  <c r="D19" i="8"/>
  <c r="C19" i="8" l="1"/>
  <c r="F19" i="8" s="1"/>
  <c r="G19" i="8" s="1"/>
  <c r="J18" i="8"/>
  <c r="K18" i="8" s="1"/>
  <c r="L18" i="8" s="1"/>
  <c r="B21" i="8"/>
  <c r="D20" i="8"/>
  <c r="E20" i="8"/>
  <c r="C20" i="8" l="1"/>
  <c r="H19" i="8"/>
  <c r="F20" i="8"/>
  <c r="G20" i="8" s="1"/>
  <c r="B22" i="8"/>
  <c r="D21" i="8"/>
  <c r="E21" i="8"/>
  <c r="C21" i="8" l="1"/>
  <c r="F21" i="8" s="1"/>
  <c r="G21" i="8" s="1"/>
  <c r="J19" i="8"/>
  <c r="K19" i="8" s="1"/>
  <c r="B23" i="8"/>
  <c r="E22" i="8"/>
  <c r="D22" i="8"/>
  <c r="C22" i="8" l="1"/>
  <c r="F22" i="8" s="1"/>
  <c r="G22" i="8" s="1"/>
  <c r="H20" i="8"/>
  <c r="L19" i="8"/>
  <c r="B24" i="8"/>
  <c r="E23" i="8"/>
  <c r="D23" i="8"/>
  <c r="J20" i="8" l="1"/>
  <c r="K20" i="8" s="1"/>
  <c r="C23" i="8"/>
  <c r="F23" i="8" s="1"/>
  <c r="G23" i="8" s="1"/>
  <c r="B25" i="8"/>
  <c r="D24" i="8"/>
  <c r="E24" i="8"/>
  <c r="L20" i="8" l="1"/>
  <c r="H21" i="8"/>
  <c r="J21" i="8" s="1"/>
  <c r="K21" i="8" s="1"/>
  <c r="L21" i="8" s="1"/>
  <c r="C24" i="8"/>
  <c r="F24" i="8" s="1"/>
  <c r="G24" i="8" s="1"/>
  <c r="H22" i="8"/>
  <c r="B26" i="8"/>
  <c r="D25" i="8"/>
  <c r="E25" i="8"/>
  <c r="C25" i="8" l="1"/>
  <c r="F25" i="8" s="1"/>
  <c r="G25" i="8" s="1"/>
  <c r="J22" i="8"/>
  <c r="B27" i="8"/>
  <c r="E26" i="8"/>
  <c r="D26" i="8"/>
  <c r="C26" i="8" l="1"/>
  <c r="F26" i="8" s="1"/>
  <c r="G26" i="8" s="1"/>
  <c r="K22" i="8"/>
  <c r="B28" i="8"/>
  <c r="E27" i="8"/>
  <c r="D27" i="8"/>
  <c r="H23" i="8" l="1"/>
  <c r="L22" i="8"/>
  <c r="C27" i="8"/>
  <c r="F27" i="8" s="1"/>
  <c r="J23" i="8"/>
  <c r="K23" i="8" s="1"/>
  <c r="L23" i="8" s="1"/>
  <c r="B29" i="8"/>
  <c r="D28" i="8"/>
  <c r="E28" i="8"/>
  <c r="G27" i="8" l="1"/>
  <c r="H24" i="8"/>
  <c r="B30" i="8"/>
  <c r="D29" i="8"/>
  <c r="E29" i="8"/>
  <c r="C28" i="8" l="1"/>
  <c r="F28" i="8" s="1"/>
  <c r="G28" i="8" s="1"/>
  <c r="J24" i="8"/>
  <c r="K24" i="8" s="1"/>
  <c r="B31" i="8"/>
  <c r="E30" i="8"/>
  <c r="D30" i="8"/>
  <c r="H25" i="8" l="1"/>
  <c r="L24" i="8"/>
  <c r="C29" i="8"/>
  <c r="F29" i="8" s="1"/>
  <c r="G29" i="8" s="1"/>
  <c r="J25" i="8"/>
  <c r="K25" i="8" s="1"/>
  <c r="B32" i="8"/>
  <c r="E31" i="8"/>
  <c r="D31" i="8"/>
  <c r="C30" i="8" l="1"/>
  <c r="F30" i="8" s="1"/>
  <c r="G30" i="8" s="1"/>
  <c r="H26" i="8"/>
  <c r="L25" i="8"/>
  <c r="J26" i="8"/>
  <c r="K26" i="8" s="1"/>
  <c r="L26" i="8" s="1"/>
  <c r="B33" i="8"/>
  <c r="D32" i="8"/>
  <c r="E32" i="8"/>
  <c r="C31" i="8" l="1"/>
  <c r="F31" i="8" s="1"/>
  <c r="G31" i="8" s="1"/>
  <c r="H27" i="8"/>
  <c r="B34" i="8"/>
  <c r="D33" i="8"/>
  <c r="E33" i="8"/>
  <c r="C32" i="8" l="1"/>
  <c r="F32" i="8" s="1"/>
  <c r="G32" i="8" s="1"/>
  <c r="J27" i="8"/>
  <c r="K27" i="8" s="1"/>
  <c r="B35" i="8"/>
  <c r="E34" i="8"/>
  <c r="D34" i="8"/>
  <c r="H28" i="8" l="1"/>
  <c r="L27" i="8"/>
  <c r="C33" i="8"/>
  <c r="J28" i="8"/>
  <c r="K28" i="8" s="1"/>
  <c r="L28" i="8" s="1"/>
  <c r="B36" i="8"/>
  <c r="E35" i="8"/>
  <c r="D35" i="8"/>
  <c r="F33" i="8" l="1"/>
  <c r="G33" i="8" s="1"/>
  <c r="H29" i="8"/>
  <c r="B37" i="8"/>
  <c r="D36" i="8"/>
  <c r="E36" i="8"/>
  <c r="C34" i="8" l="1"/>
  <c r="F34" i="8" s="1"/>
  <c r="G34" i="8" s="1"/>
  <c r="J29" i="8"/>
  <c r="K29" i="8" s="1"/>
  <c r="L29" i="8" s="1"/>
  <c r="D37" i="8"/>
  <c r="E37" i="8"/>
  <c r="C35" i="8" l="1"/>
  <c r="F35" i="8" s="1"/>
  <c r="G35" i="8" s="1"/>
  <c r="H30" i="8"/>
  <c r="C36" i="8" l="1"/>
  <c r="J30" i="8"/>
  <c r="K30" i="8" s="1"/>
  <c r="H31" i="8" l="1"/>
  <c r="L30" i="8"/>
  <c r="F36" i="8"/>
  <c r="G36" i="8" s="1"/>
  <c r="J31" i="8"/>
  <c r="K31" i="8" s="1"/>
  <c r="C37" i="8" l="1"/>
  <c r="F37" i="8" s="1"/>
  <c r="G37" i="8" s="1"/>
  <c r="H32" i="8"/>
  <c r="J32" i="8" s="1"/>
  <c r="K32" i="8" s="1"/>
  <c r="L31" i="8"/>
  <c r="H33" i="8" l="1"/>
  <c r="J33" i="8" s="1"/>
  <c r="L32" i="8"/>
  <c r="K33" i="8" l="1"/>
  <c r="H34" i="8" l="1"/>
  <c r="J34" i="8" s="1"/>
  <c r="K34" i="8" s="1"/>
  <c r="L34" i="8" s="1"/>
  <c r="L33" i="8"/>
  <c r="H35" i="8" l="1"/>
  <c r="J35" i="8" l="1"/>
  <c r="K35" i="8" s="1"/>
  <c r="H36" i="8" l="1"/>
  <c r="L35" i="8"/>
  <c r="K36" i="8" l="1"/>
  <c r="L36" i="8" s="1"/>
  <c r="J36" i="8"/>
  <c r="H37" i="8" l="1"/>
  <c r="J37" i="8"/>
  <c r="K37" i="8" s="1"/>
  <c r="L37" i="8" s="1"/>
  <c r="B41" i="8" s="1"/>
</calcChain>
</file>

<file path=xl/sharedStrings.xml><?xml version="1.0" encoding="utf-8"?>
<sst xmlns="http://schemas.openxmlformats.org/spreadsheetml/2006/main" count="143" uniqueCount="110">
  <si>
    <t>Transactions in Year 1</t>
  </si>
  <si>
    <t>Average order size in Year 1</t>
  </si>
  <si>
    <t>COGS as a % of the sales price</t>
  </si>
  <si>
    <t>Tax rate</t>
  </si>
  <si>
    <t>Base case (No Web portal)</t>
  </si>
  <si>
    <t>Year 0</t>
  </si>
  <si>
    <t>Year 1</t>
  </si>
  <si>
    <t>Year 2</t>
  </si>
  <si>
    <t>Year 3</t>
  </si>
  <si>
    <t>Average processing cost per order</t>
  </si>
  <si>
    <t>Number of transactions</t>
  </si>
  <si>
    <t>Average order size (US $)</t>
  </si>
  <si>
    <t>Baseline Revenue (US $)</t>
  </si>
  <si>
    <t>COGS (US $)</t>
  </si>
  <si>
    <t>Order Processing Cost</t>
  </si>
  <si>
    <t>Net Income</t>
  </si>
  <si>
    <t>Tax</t>
  </si>
  <si>
    <t>Cash Flows</t>
  </si>
  <si>
    <t>With the Web portal</t>
  </si>
  <si>
    <t>Initial implementation cost</t>
  </si>
  <si>
    <t>Ongoing cost</t>
  </si>
  <si>
    <t>Average processing cost of a Web transaction</t>
  </si>
  <si>
    <t>% total transaction with the Web portal</t>
  </si>
  <si>
    <t>Costs of the Web portal</t>
  </si>
  <si>
    <t>Incremental Cash Flows</t>
  </si>
  <si>
    <t>Net incremental cash flows</t>
  </si>
  <si>
    <t>Conclusion</t>
  </si>
  <si>
    <t>Retirement Savings</t>
  </si>
  <si>
    <t>Assumptions</t>
  </si>
  <si>
    <t>Current Earnings</t>
  </si>
  <si>
    <t>Mr. Clark's Contribution To 401(k)</t>
  </si>
  <si>
    <t>Earnings Increase</t>
  </si>
  <si>
    <t>Employer Contribution to 401(k)</t>
  </si>
  <si>
    <t>Stock MKT return</t>
  </si>
  <si>
    <t>Additional savings</t>
  </si>
  <si>
    <t>Increase in add. Savings</t>
  </si>
  <si>
    <t>401(k) Plan</t>
  </si>
  <si>
    <t>Personal Account</t>
  </si>
  <si>
    <t>Mr. Clark's Age</t>
  </si>
  <si>
    <t>Salary</t>
  </si>
  <si>
    <t>Previous Year's Balance</t>
  </si>
  <si>
    <t>Mr. Clark's Contribution</t>
  </si>
  <si>
    <t>Employer Contribution</t>
  </si>
  <si>
    <t>401K Plan Total</t>
  </si>
  <si>
    <t>Previous Year Balance</t>
  </si>
  <si>
    <t>Additional Savings</t>
  </si>
  <si>
    <t>Acct Total</t>
  </si>
  <si>
    <t>Yearly total</t>
  </si>
  <si>
    <t>Sensitivity Analysis</t>
  </si>
  <si>
    <t>Average Market Return</t>
  </si>
  <si>
    <t>Increase in earnings</t>
  </si>
  <si>
    <t xml:space="preserve">Net Income </t>
  </si>
  <si>
    <t>General Assumptions (Assume for both the cases unless, mentioned)</t>
  </si>
  <si>
    <t>Base case (No Web Portal) Assumptions</t>
  </si>
  <si>
    <t xml:space="preserve">Annual growth rate of number of transactions </t>
  </si>
  <si>
    <t xml:space="preserve">Annual growth rate of average order size </t>
  </si>
  <si>
    <t>Discount rate (p.a.)</t>
  </si>
  <si>
    <t>Implementation of Web portal assumptions</t>
  </si>
  <si>
    <t>Total transaction increase in Year 1 from Base case</t>
  </si>
  <si>
    <t>Net present value (NPV)</t>
  </si>
  <si>
    <t xml:space="preserve">Net Income  Before Tax </t>
  </si>
  <si>
    <t>Net Income Before Tax</t>
  </si>
  <si>
    <t>Student ID</t>
  </si>
  <si>
    <t>Student Name</t>
  </si>
  <si>
    <t>Major</t>
  </si>
  <si>
    <t>Year at College</t>
  </si>
  <si>
    <t>Eligible for CPA</t>
  </si>
  <si>
    <t xml:space="preserve">Eligible for President </t>
  </si>
  <si>
    <t xml:space="preserve">Eligible to Mentor </t>
  </si>
  <si>
    <t>GPA</t>
  </si>
  <si>
    <t>ABC123</t>
  </si>
  <si>
    <t>BRE234</t>
  </si>
  <si>
    <t>Brian Edward</t>
  </si>
  <si>
    <t>Abby Cook</t>
  </si>
  <si>
    <t>SER456</t>
  </si>
  <si>
    <t xml:space="preserve">Sam Johnson </t>
  </si>
  <si>
    <t>RER4444</t>
  </si>
  <si>
    <t>Ramesh Reddy</t>
  </si>
  <si>
    <t>PER234</t>
  </si>
  <si>
    <t>Peter Parker</t>
  </si>
  <si>
    <t>FED55555</t>
  </si>
  <si>
    <t>Fred Dicker</t>
  </si>
  <si>
    <t>HGF6678</t>
  </si>
  <si>
    <t>Harry Potter</t>
  </si>
  <si>
    <t>JOG68745</t>
  </si>
  <si>
    <t>John Edward</t>
  </si>
  <si>
    <t>KDFEGH4</t>
  </si>
  <si>
    <t>Kaitlyn Xu</t>
  </si>
  <si>
    <t>SDEF345</t>
  </si>
  <si>
    <t>Samantha Burrow</t>
  </si>
  <si>
    <t>GHJ67</t>
  </si>
  <si>
    <t>LSVG345</t>
  </si>
  <si>
    <t>Lisa Miller</t>
  </si>
  <si>
    <t xml:space="preserve">Grace Willams </t>
  </si>
  <si>
    <t>Eligible for Honors</t>
  </si>
  <si>
    <t>Finance</t>
  </si>
  <si>
    <t>Accounting</t>
  </si>
  <si>
    <t>MIS</t>
  </si>
  <si>
    <t>MKT</t>
  </si>
  <si>
    <t xml:space="preserve">Management </t>
  </si>
  <si>
    <t>Supply Chain</t>
  </si>
  <si>
    <t xml:space="preserve">Freshmen </t>
  </si>
  <si>
    <t>Junior</t>
  </si>
  <si>
    <t>Sophomore</t>
  </si>
  <si>
    <t>Senior</t>
  </si>
  <si>
    <t>410(k) Stock Market Earnings</t>
  </si>
  <si>
    <t>P. Acc. Stock Market Earnings</t>
  </si>
  <si>
    <t xml:space="preserve">DDifference between Absolute and Relative References: Relative Reference references a cell and allows for the formua to change as it applied to a cell. Absolute reference, howeve, remains costant in every cell. </t>
  </si>
  <si>
    <t xml:space="preserve">Difference between VLOOKUP and HLOOKUP Function : The differnce between VLOOKUP and HLOOKUP is is that one calculates the vaue in a horizontal table, while another looks ups up values in a column. VLOOKUP searches for values in the same row. HLOOKUP serches for values in the top horizontal values. </t>
  </si>
  <si>
    <t xml:space="preserve">Your conclusion: The datd shows that the web poral was efficent incressed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</si>
</sst>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</cellStyleXfs>
  <cellXfs count="93">
    <xf numFmtId="0" fontId="0" fillId="0" borderId="0" xfId="0"/>
    <xf numFmtId="0" fontId="5" fillId="0" borderId="0" xfId="3" applyFont="1"/>
    <xf numFmtId="0" fontId="6" fillId="0" borderId="0" xfId="0" applyFont="1"/>
    <xf numFmtId="6" fontId="6" fillId="0" borderId="0" xfId="0" applyNumberFormat="1" applyFont="1"/>
    <xf numFmtId="9" fontId="6" fillId="0" borderId="0" xfId="0" applyNumberFormat="1" applyFont="1"/>
    <xf numFmtId="0" fontId="7" fillId="0" borderId="3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4" applyFont="1" applyAlignment="1">
      <alignment horizontal="right"/>
    </xf>
    <xf numFmtId="44" fontId="8" fillId="0" borderId="0" xfId="1" applyFont="1"/>
    <xf numFmtId="0" fontId="8" fillId="0" borderId="0" xfId="1" applyNumberFormat="1" applyFont="1"/>
    <xf numFmtId="164" fontId="8" fillId="0" borderId="0" xfId="1" applyNumberFormat="1" applyFont="1"/>
    <xf numFmtId="164" fontId="6" fillId="0" borderId="0" xfId="1" applyNumberFormat="1" applyFont="1"/>
    <xf numFmtId="0" fontId="6" fillId="0" borderId="0" xfId="0" applyFont="1" applyAlignment="1">
      <alignment horizontal="right"/>
    </xf>
    <xf numFmtId="0" fontId="6" fillId="0" borderId="4" xfId="0" applyFont="1" applyBorder="1"/>
    <xf numFmtId="42" fontId="6" fillId="0" borderId="4" xfId="1" applyNumberFormat="1" applyFont="1" applyBorder="1"/>
    <xf numFmtId="164" fontId="6" fillId="0" borderId="0" xfId="0" applyNumberFormat="1" applyFont="1"/>
    <xf numFmtId="8" fontId="6" fillId="0" borderId="0" xfId="0" applyNumberFormat="1" applyFont="1"/>
    <xf numFmtId="0" fontId="3" fillId="0" borderId="0" xfId="0" applyFont="1"/>
    <xf numFmtId="164" fontId="6" fillId="0" borderId="4" xfId="0" applyNumberFormat="1" applyFont="1" applyBorder="1"/>
    <xf numFmtId="164" fontId="8" fillId="0" borderId="0" xfId="0" applyNumberFormat="1" applyFont="1"/>
    <xf numFmtId="8" fontId="2" fillId="2" borderId="1" xfId="2" applyNumberFormat="1"/>
    <xf numFmtId="0" fontId="9" fillId="0" borderId="0" xfId="0" applyFont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11" fillId="5" borderId="0" xfId="0" applyFont="1" applyFill="1" applyAlignment="1">
      <alignment horizontal="center"/>
    </xf>
    <xf numFmtId="0" fontId="0" fillId="5" borderId="0" xfId="0" applyFill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4" xfId="0" applyFill="1" applyBorder="1"/>
    <xf numFmtId="0" fontId="0" fillId="5" borderId="3" xfId="0" applyFill="1" applyBorder="1"/>
    <xf numFmtId="0" fontId="0" fillId="5" borderId="3" xfId="0" applyFill="1" applyBorder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  <xf numFmtId="0" fontId="11" fillId="0" borderId="0" xfId="0" applyFont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/>
    <xf numFmtId="165" fontId="0" fillId="4" borderId="16" xfId="0" applyNumberFormat="1" applyFill="1" applyBorder="1"/>
    <xf numFmtId="165" fontId="0" fillId="4" borderId="5" xfId="0" applyNumberFormat="1" applyFill="1" applyBorder="1"/>
    <xf numFmtId="165" fontId="0" fillId="4" borderId="19" xfId="0" applyNumberFormat="1" applyFill="1" applyBorder="1"/>
    <xf numFmtId="3" fontId="0" fillId="0" borderId="0" xfId="0" applyNumberFormat="1"/>
    <xf numFmtId="0" fontId="13" fillId="0" borderId="0" xfId="0" applyFont="1"/>
    <xf numFmtId="165" fontId="0" fillId="6" borderId="5" xfId="0" applyNumberFormat="1" applyFill="1" applyBorder="1"/>
    <xf numFmtId="9" fontId="0" fillId="4" borderId="5" xfId="0" applyNumberFormat="1" applyFill="1" applyBorder="1"/>
    <xf numFmtId="165" fontId="0" fillId="0" borderId="0" xfId="0" applyNumberFormat="1"/>
    <xf numFmtId="165" fontId="0" fillId="4" borderId="23" xfId="0" applyNumberFormat="1" applyFill="1" applyBorder="1"/>
    <xf numFmtId="165" fontId="12" fillId="4" borderId="24" xfId="0" applyNumberFormat="1" applyFont="1" applyFill="1" applyBorder="1"/>
    <xf numFmtId="165" fontId="0" fillId="4" borderId="25" xfId="0" applyNumberFormat="1" applyFill="1" applyBorder="1"/>
    <xf numFmtId="165" fontId="14" fillId="0" borderId="16" xfId="0" applyNumberFormat="1" applyFont="1" applyBorder="1"/>
    <xf numFmtId="165" fontId="14" fillId="0" borderId="17" xfId="0" applyNumberFormat="1" applyFont="1" applyBorder="1"/>
    <xf numFmtId="165" fontId="14" fillId="0" borderId="5" xfId="0" applyNumberFormat="1" applyFont="1" applyBorder="1"/>
    <xf numFmtId="165" fontId="3" fillId="0" borderId="18" xfId="0" applyNumberFormat="1" applyFont="1" applyBorder="1"/>
    <xf numFmtId="165" fontId="3" fillId="0" borderId="17" xfId="0" applyNumberFormat="1" applyFont="1" applyBorder="1"/>
    <xf numFmtId="165" fontId="3" fillId="0" borderId="5" xfId="0" applyNumberFormat="1" applyFont="1" applyBorder="1"/>
    <xf numFmtId="165" fontId="3" fillId="0" borderId="19" xfId="0" applyNumberFormat="1" applyFont="1" applyBorder="1"/>
    <xf numFmtId="165" fontId="3" fillId="4" borderId="16" xfId="0" applyNumberFormat="1" applyFont="1" applyFill="1" applyBorder="1"/>
    <xf numFmtId="165" fontId="3" fillId="4" borderId="17" xfId="0" applyNumberFormat="1" applyFont="1" applyFill="1" applyBorder="1"/>
    <xf numFmtId="165" fontId="14" fillId="4" borderId="5" xfId="0" applyNumberFormat="1" applyFont="1" applyFill="1" applyBorder="1"/>
    <xf numFmtId="165" fontId="3" fillId="4" borderId="5" xfId="0" applyNumberFormat="1" applyFont="1" applyFill="1" applyBorder="1"/>
    <xf numFmtId="165" fontId="3" fillId="4" borderId="18" xfId="0" applyNumberFormat="1" applyFont="1" applyFill="1" applyBorder="1"/>
    <xf numFmtId="165" fontId="3" fillId="4" borderId="19" xfId="0" applyNumberFormat="1" applyFont="1" applyFill="1" applyBorder="1"/>
    <xf numFmtId="165" fontId="14" fillId="4" borderId="20" xfId="0" applyNumberFormat="1" applyFont="1" applyFill="1" applyBorder="1"/>
    <xf numFmtId="165" fontId="3" fillId="4" borderId="20" xfId="0" applyNumberFormat="1" applyFont="1" applyFill="1" applyBorder="1"/>
    <xf numFmtId="165" fontId="3" fillId="4" borderId="21" xfId="0" applyNumberFormat="1" applyFont="1" applyFill="1" applyBorder="1"/>
    <xf numFmtId="165" fontId="3" fillId="4" borderId="22" xfId="0" applyNumberFormat="1" applyFont="1" applyFill="1" applyBorder="1"/>
    <xf numFmtId="165" fontId="16" fillId="6" borderId="19" xfId="0" applyNumberFormat="1" applyFont="1" applyFill="1" applyBorder="1"/>
    <xf numFmtId="165" fontId="14" fillId="5" borderId="0" xfId="0" applyNumberFormat="1" applyFont="1" applyFill="1"/>
    <xf numFmtId="9" fontId="14" fillId="5" borderId="10" xfId="0" applyNumberFormat="1" applyFont="1" applyFill="1" applyBorder="1"/>
    <xf numFmtId="9" fontId="14" fillId="5" borderId="0" xfId="0" applyNumberFormat="1" applyFont="1" applyFill="1"/>
    <xf numFmtId="9" fontId="14" fillId="5" borderId="12" xfId="0" applyNumberFormat="1" applyFont="1" applyFill="1" applyBorder="1"/>
    <xf numFmtId="6" fontId="14" fillId="5" borderId="13" xfId="0" applyNumberFormat="1" applyFont="1" applyFill="1" applyBorder="1"/>
    <xf numFmtId="9" fontId="14" fillId="5" borderId="15" xfId="0" applyNumberFormat="1" applyFont="1" applyFill="1" applyBorder="1"/>
    <xf numFmtId="0" fontId="17" fillId="0" borderId="0" xfId="0" applyFont="1" applyAlignment="1">
      <alignment horizontal="left" vertical="top"/>
    </xf>
    <xf numFmtId="164" fontId="0" fillId="0" borderId="0" xfId="0" applyNumberFormat="1"/>
    <xf numFmtId="44" fontId="0" fillId="0" borderId="0" xfId="0" applyNumberFormat="1"/>
    <xf numFmtId="164" fontId="4" fillId="0" borderId="0" xfId="1" applyNumberFormat="1" applyFont="1"/>
    <xf numFmtId="6" fontId="0" fillId="0" borderId="0" xfId="0" applyNumberFormat="1"/>
    <xf numFmtId="8" fontId="0" fillId="0" borderId="0" xfId="0" applyNumberForma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3" applyFont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 textRotation="90"/>
    </xf>
    <xf numFmtId="0" fontId="15" fillId="5" borderId="0" xfId="0" applyFont="1" applyFill="1" applyAlignment="1">
      <alignment horizontal="center"/>
    </xf>
    <xf numFmtId="0" fontId="17" fillId="0" borderId="0" xfId="0" applyFont="1" applyAlignment="1">
      <alignment horizontal="left" vertical="top"/>
    </xf>
  </cellXfs>
  <cellStyles count="14">
    <cellStyle name="Comma 2" xfId="5" xr:uid="{00000000-0005-0000-0000-000000000000}"/>
    <cellStyle name="Currency" xfId="1" builtinId="4"/>
    <cellStyle name="Input" xfId="2" builtinId="20"/>
    <cellStyle name="Normal" xfId="0" builtinId="0"/>
    <cellStyle name="Normal 2" xfId="3" xr:uid="{00000000-0005-0000-0000-000004000000}"/>
    <cellStyle name="Normal 6" xfId="6" xr:uid="{00000000-0005-0000-0000-000005000000}"/>
    <cellStyle name="Normal_San Diego Savings-NEW" xfId="4" xr:uid="{00000000-0005-0000-0000-000006000000}"/>
    <cellStyle name="Note 2" xfId="7" xr:uid="{00000000-0005-0000-0000-000007000000}"/>
    <cellStyle name="Note 3" xfId="8" xr:uid="{00000000-0005-0000-0000-000008000000}"/>
    <cellStyle name="Note 4" xfId="9" xr:uid="{00000000-0005-0000-0000-000009000000}"/>
    <cellStyle name="Note 5" xfId="10" xr:uid="{00000000-0005-0000-0000-00000A000000}"/>
    <cellStyle name="Note 6" xfId="11" xr:uid="{00000000-0005-0000-0000-00000B000000}"/>
    <cellStyle name="Note 7" xfId="12" xr:uid="{00000000-0005-0000-0000-00000C000000}"/>
    <cellStyle name="Note 8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37</xdr:row>
      <xdr:rowOff>22860</xdr:rowOff>
    </xdr:from>
    <xdr:to>
      <xdr:col>11</xdr:col>
      <xdr:colOff>198120</xdr:colOff>
      <xdr:row>39</xdr:row>
      <xdr:rowOff>144780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 flipV="1">
          <a:off x="1569720" y="7444740"/>
          <a:ext cx="899922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EC0F0-99EB-F142-85C2-C0046DDF1B8D}" name="Table1" displayName="Table1" ref="A1:I13" totalsRowShown="0">
  <autoFilter ref="A1:I13" xr:uid="{26DCFAA1-FDBF-554F-A95F-69D7D3DB4E34}"/>
  <tableColumns count="9">
    <tableColumn id="1" xr3:uid="{218B058B-7DB5-D442-AA8B-6C5A05EB3745}" name="Student ID"/>
    <tableColumn id="2" xr3:uid="{52FA11B1-F134-E547-99EA-76165DDA57BB}" name="Student Name"/>
    <tableColumn id="3" xr3:uid="{EFA079C6-5538-3F4B-B768-3022B7786212}" name="Major"/>
    <tableColumn id="4" xr3:uid="{F73D4CAE-455D-004C-96AC-BBBC81F4FE66}" name="Year at College"/>
    <tableColumn id="5" xr3:uid="{0BE72F5D-022A-1C42-8788-06B9386EB9A5}" name="Eligible for CPA">
      <calculatedColumnFormula>IF(AND(Table1[[#This Row],[Year at College]] = "Senior", OR(Table1[[#This Row],[Major]] = "Accounting", Table1[[#This Row],[Major]] = "Finance") ), "YES", "NO")</calculatedColumnFormula>
    </tableColumn>
    <tableColumn id="6" xr3:uid="{7B24A89A-0241-4B4F-982E-9A322AD2A63A}" name="Eligible for President ">
      <calculatedColumnFormula>IF(AND(Table1[[#This Row],[Year at College]]="Senior", Table1[[#This Row],[GPA]] &gt;2.5), "YES", "NO")</calculatedColumnFormula>
    </tableColumn>
    <tableColumn id="7" xr3:uid="{426C6FA4-3704-3643-81BD-814ED04763A4}" name="Eligible to Mentor ">
      <calculatedColumnFormula>IF(AND(Table1[[#This Row],[GPA]]&gt;3.5, OR(Table1[[#This Row],[Year at College]] = "Junior", Table1[[#This Row],[Year at College]] ="Senior")), "YES","NO")</calculatedColumnFormula>
    </tableColumn>
    <tableColumn id="14" xr3:uid="{C19BBDFC-20F3-D64D-B3BD-913EC28EB65B}" name="GPA"/>
    <tableColumn id="9" xr3:uid="{27A86B7C-1C32-5549-858C-9FD48BD1F03D}" name="Eligible for Honors">
      <calculatedColumnFormula>IF(AND(Table1[[#This Row],[Year at College]] = "Senior", Table1[[#This Row],[GPA]] &gt;3.5),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zoomScale="109" workbookViewId="0">
      <selection sqref="A1:AJ225"/>
    </sheetView>
  </sheetViews>
  <sheetFormatPr baseColWidth="10" defaultColWidth="8.83203125" defaultRowHeight="15" x14ac:dyDescent="0.2"/>
  <cols>
    <col min="2" max="2" width="47.33203125" bestFit="1" customWidth="1"/>
    <col min="3" max="3" width="12.33203125" customWidth="1"/>
    <col min="6" max="6" width="25.5" bestFit="1" customWidth="1"/>
    <col min="7" max="7" width="26.83203125" bestFit="1" customWidth="1"/>
    <col min="8" max="8" width="16.5" customWidth="1"/>
    <col min="9" max="9" width="15.83203125" customWidth="1"/>
    <col min="10" max="10" width="17.33203125" customWidth="1"/>
    <col min="11" max="11" width="17.5" customWidth="1"/>
  </cols>
  <sheetData>
    <row r="1" spans="1:11" ht="18" x14ac:dyDescent="0.2">
      <c r="A1" s="85" t="s">
        <v>52</v>
      </c>
      <c r="B1" s="85"/>
      <c r="C1" s="85"/>
      <c r="D1" s="85"/>
      <c r="E1" s="85"/>
      <c r="F1" s="85"/>
    </row>
    <row r="2" spans="1:11" x14ac:dyDescent="0.2">
      <c r="B2" s="2"/>
      <c r="C2" s="2"/>
    </row>
    <row r="3" spans="1:11" x14ac:dyDescent="0.2">
      <c r="B3" s="2" t="s">
        <v>0</v>
      </c>
      <c r="C3" s="2">
        <v>141000</v>
      </c>
    </row>
    <row r="4" spans="1:11" x14ac:dyDescent="0.2">
      <c r="B4" s="2" t="s">
        <v>1</v>
      </c>
      <c r="C4" s="3">
        <v>258</v>
      </c>
    </row>
    <row r="5" spans="1:11" x14ac:dyDescent="0.2">
      <c r="B5" s="2" t="s">
        <v>2</v>
      </c>
      <c r="C5" s="4">
        <v>0.7</v>
      </c>
    </row>
    <row r="6" spans="1:11" x14ac:dyDescent="0.2">
      <c r="B6" s="2" t="s">
        <v>55</v>
      </c>
      <c r="C6" s="4">
        <v>0.03</v>
      </c>
    </row>
    <row r="7" spans="1:11" x14ac:dyDescent="0.2">
      <c r="B7" s="2" t="s">
        <v>3</v>
      </c>
      <c r="C7" s="4">
        <v>0.35</v>
      </c>
    </row>
    <row r="8" spans="1:11" x14ac:dyDescent="0.2">
      <c r="B8" s="2" t="s">
        <v>56</v>
      </c>
      <c r="C8" s="4">
        <v>0.12</v>
      </c>
    </row>
    <row r="10" spans="1:11" ht="18" x14ac:dyDescent="0.2">
      <c r="A10" s="85" t="s">
        <v>53</v>
      </c>
      <c r="B10" s="85"/>
      <c r="C10" s="85"/>
      <c r="H10" s="85" t="s">
        <v>4</v>
      </c>
      <c r="I10" s="85"/>
      <c r="J10" s="85"/>
      <c r="K10" s="85"/>
    </row>
    <row r="11" spans="1:11" ht="16" thickBot="1" x14ac:dyDescent="0.25">
      <c r="B11" s="2" t="s">
        <v>54</v>
      </c>
      <c r="C11" s="4">
        <v>0.03</v>
      </c>
      <c r="G11" s="2"/>
      <c r="H11" s="5" t="s">
        <v>5</v>
      </c>
      <c r="I11" s="5" t="s">
        <v>6</v>
      </c>
      <c r="J11" s="5" t="s">
        <v>7</v>
      </c>
      <c r="K11" s="5" t="s">
        <v>8</v>
      </c>
    </row>
    <row r="12" spans="1:11" x14ac:dyDescent="0.2">
      <c r="B12" s="2" t="s">
        <v>9</v>
      </c>
      <c r="C12" s="3">
        <v>30</v>
      </c>
      <c r="G12" s="6"/>
      <c r="H12" s="2"/>
      <c r="I12" s="7"/>
      <c r="J12" s="7"/>
      <c r="K12" s="7"/>
    </row>
    <row r="13" spans="1:11" x14ac:dyDescent="0.2">
      <c r="G13" s="8" t="s">
        <v>10</v>
      </c>
      <c r="H13" s="10">
        <v>0</v>
      </c>
      <c r="I13" s="10">
        <f>$C$3</f>
        <v>141000</v>
      </c>
      <c r="J13" s="10">
        <f>I13*(1+$C$11)</f>
        <v>145230</v>
      </c>
      <c r="K13" s="81">
        <f>J13*(1+$C$11)</f>
        <v>149586.9</v>
      </c>
    </row>
    <row r="14" spans="1:11" x14ac:dyDescent="0.2">
      <c r="G14" s="8" t="s">
        <v>11</v>
      </c>
      <c r="H14" s="12"/>
      <c r="I14" s="11">
        <f>$C$4</f>
        <v>258</v>
      </c>
      <c r="J14" s="11">
        <f>I14*(1+$C$6)</f>
        <v>265.74</v>
      </c>
      <c r="K14" s="79">
        <f>J14*(1+$C$6)</f>
        <v>273.7122</v>
      </c>
    </row>
    <row r="15" spans="1:11" x14ac:dyDescent="0.2">
      <c r="G15" s="8" t="s">
        <v>12</v>
      </c>
      <c r="H15" s="12">
        <v>0</v>
      </c>
      <c r="I15" s="11">
        <f>I13*I14</f>
        <v>36378000</v>
      </c>
      <c r="J15" s="79">
        <f>J13*J14</f>
        <v>38593420.200000003</v>
      </c>
      <c r="K15">
        <f>K13*K14</f>
        <v>40943759.490180001</v>
      </c>
    </row>
    <row r="16" spans="1:11" x14ac:dyDescent="0.2">
      <c r="G16" s="8" t="s">
        <v>13</v>
      </c>
      <c r="H16" s="12">
        <v>0</v>
      </c>
      <c r="I16" s="11">
        <f>PRODUCT(I15*C5)</f>
        <v>25464600</v>
      </c>
      <c r="J16" s="11">
        <f>J13*($C$5*J14)</f>
        <v>27015394.140000001</v>
      </c>
      <c r="K16" s="11">
        <f>K13*($C$5*K14)</f>
        <v>28660631.643125996</v>
      </c>
    </row>
    <row r="17" spans="1:11" x14ac:dyDescent="0.2">
      <c r="G17" s="8" t="s">
        <v>14</v>
      </c>
      <c r="H17" s="11">
        <v>0</v>
      </c>
      <c r="I17" s="11">
        <f>I13*$C$12</f>
        <v>4230000</v>
      </c>
      <c r="J17" s="11">
        <f>J13*$C$12</f>
        <v>4356900</v>
      </c>
      <c r="K17" s="11">
        <f xml:space="preserve"> K13*$C$12</f>
        <v>4487607</v>
      </c>
    </row>
    <row r="18" spans="1:11" x14ac:dyDescent="0.2">
      <c r="G18" s="8" t="s">
        <v>60</v>
      </c>
      <c r="H18" s="11"/>
      <c r="I18" s="11">
        <f>I15-I16-I17</f>
        <v>6683400</v>
      </c>
      <c r="J18" s="11">
        <f>J15-J16-J17</f>
        <v>7221126.0600000024</v>
      </c>
      <c r="K18" s="80">
        <f>K15-K16-K17</f>
        <v>7795520.8470540047</v>
      </c>
    </row>
    <row r="19" spans="1:11" x14ac:dyDescent="0.2">
      <c r="G19" s="13" t="s">
        <v>16</v>
      </c>
      <c r="H19" s="11"/>
      <c r="I19" s="78">
        <f>$C$7*I18</f>
        <v>2339190</v>
      </c>
      <c r="J19" s="11">
        <f>$C$7*J18</f>
        <v>2527394.1210000007</v>
      </c>
      <c r="K19" s="11">
        <f>$C$7*K18</f>
        <v>2728432.2964689014</v>
      </c>
    </row>
    <row r="20" spans="1:11" ht="16" thickBot="1" x14ac:dyDescent="0.25">
      <c r="G20" s="13" t="s">
        <v>51</v>
      </c>
      <c r="H20" s="14"/>
      <c r="I20" s="15">
        <f>I18-I19</f>
        <v>4344210</v>
      </c>
      <c r="J20" s="15">
        <f>J18-J19</f>
        <v>4693731.9390000012</v>
      </c>
      <c r="K20" s="15">
        <f>K18-K19</f>
        <v>5067088.5505851032</v>
      </c>
    </row>
    <row r="21" spans="1:11" ht="16" thickTop="1" x14ac:dyDescent="0.2">
      <c r="G21" s="6" t="s">
        <v>17</v>
      </c>
      <c r="H21" s="16">
        <f>H20</f>
        <v>0</v>
      </c>
      <c r="I21" s="16">
        <f t="shared" ref="I21" si="0">I20</f>
        <v>4344210</v>
      </c>
      <c r="J21" s="16">
        <f>J20</f>
        <v>4693731.9390000012</v>
      </c>
      <c r="K21" s="16">
        <f>K20</f>
        <v>5067088.5505851032</v>
      </c>
    </row>
    <row r="24" spans="1:11" ht="18" x14ac:dyDescent="0.2">
      <c r="A24" s="85" t="s">
        <v>57</v>
      </c>
      <c r="B24" s="85"/>
      <c r="C24" s="85"/>
      <c r="H24" s="85" t="s">
        <v>18</v>
      </c>
      <c r="I24" s="85"/>
      <c r="J24" s="85"/>
      <c r="K24" s="85"/>
    </row>
    <row r="25" spans="1:11" ht="16" thickBot="1" x14ac:dyDescent="0.25">
      <c r="B25" s="2" t="s">
        <v>19</v>
      </c>
      <c r="C25" s="3">
        <v>4000000</v>
      </c>
      <c r="D25" s="2"/>
      <c r="G25" s="2"/>
      <c r="H25" s="5" t="s">
        <v>5</v>
      </c>
      <c r="I25" s="5" t="s">
        <v>6</v>
      </c>
      <c r="J25" s="5" t="s">
        <v>7</v>
      </c>
      <c r="K25" s="5" t="s">
        <v>8</v>
      </c>
    </row>
    <row r="26" spans="1:11" x14ac:dyDescent="0.2">
      <c r="B26" s="2" t="s">
        <v>20</v>
      </c>
      <c r="C26" s="3">
        <v>1000000</v>
      </c>
      <c r="D26" s="2"/>
      <c r="G26" s="6"/>
      <c r="H26" s="2"/>
      <c r="I26" s="7"/>
      <c r="J26" s="7"/>
      <c r="K26" s="7"/>
    </row>
    <row r="27" spans="1:11" x14ac:dyDescent="0.2">
      <c r="B27" s="2" t="s">
        <v>58</v>
      </c>
      <c r="C27" s="2">
        <v>20000</v>
      </c>
      <c r="D27" s="2"/>
      <c r="G27" s="8" t="s">
        <v>10</v>
      </c>
      <c r="H27" s="10">
        <v>0</v>
      </c>
      <c r="I27" s="10">
        <f>(C3+C27)</f>
        <v>161000</v>
      </c>
      <c r="J27" s="10">
        <f>I27*(1+$C$28)</f>
        <v>177100</v>
      </c>
      <c r="K27" s="10">
        <f>J27*(1+$C$28)</f>
        <v>194810.00000000003</v>
      </c>
    </row>
    <row r="28" spans="1:11" x14ac:dyDescent="0.2">
      <c r="B28" s="2" t="s">
        <v>54</v>
      </c>
      <c r="C28" s="4">
        <v>0.1</v>
      </c>
      <c r="D28" s="2"/>
      <c r="G28" s="8" t="s">
        <v>11</v>
      </c>
      <c r="H28" s="12">
        <v>0</v>
      </c>
      <c r="I28" s="11">
        <f>C4</f>
        <v>258</v>
      </c>
      <c r="J28" s="11">
        <f>I28*(1+$C$6)</f>
        <v>265.74</v>
      </c>
      <c r="K28" s="11">
        <f>J28*(1+$C$6)</f>
        <v>273.7122</v>
      </c>
    </row>
    <row r="29" spans="1:11" x14ac:dyDescent="0.2">
      <c r="B29" s="2" t="s">
        <v>21</v>
      </c>
      <c r="C29" s="3">
        <v>3</v>
      </c>
      <c r="D29" s="2"/>
      <c r="G29" s="8" t="s">
        <v>12</v>
      </c>
      <c r="H29" s="12">
        <v>0</v>
      </c>
      <c r="I29" s="11">
        <f>I27*I28</f>
        <v>41538000</v>
      </c>
      <c r="J29" s="11">
        <f>J27*J28</f>
        <v>47062554</v>
      </c>
      <c r="K29" s="11">
        <f>K27*K28</f>
        <v>53321873.682000004</v>
      </c>
    </row>
    <row r="30" spans="1:11" x14ac:dyDescent="0.2">
      <c r="B30" s="2" t="s">
        <v>9</v>
      </c>
      <c r="C30" s="17">
        <v>16.5</v>
      </c>
      <c r="D30" s="2"/>
      <c r="G30" s="8" t="s">
        <v>13</v>
      </c>
      <c r="H30" s="12">
        <v>0</v>
      </c>
      <c r="I30" s="82">
        <f>I27*($C$5*I28)</f>
        <v>29076600</v>
      </c>
      <c r="J30" s="11">
        <f>J27*($C$5*J28)</f>
        <v>32943787.800000001</v>
      </c>
      <c r="K30" s="11">
        <f>K27*($C$5*K28)</f>
        <v>37325311.577400006</v>
      </c>
    </row>
    <row r="31" spans="1:11" x14ac:dyDescent="0.2">
      <c r="B31" s="2" t="s">
        <v>22</v>
      </c>
      <c r="C31" s="4">
        <v>0.5</v>
      </c>
      <c r="D31" s="2"/>
      <c r="G31" s="8" t="s">
        <v>14</v>
      </c>
      <c r="H31" s="11">
        <v>0</v>
      </c>
      <c r="I31" s="82">
        <f>I27*$C$30</f>
        <v>2656500</v>
      </c>
      <c r="J31" s="11">
        <f>J27*$C$30</f>
        <v>2922150</v>
      </c>
      <c r="K31" s="11">
        <f>K27*$C$30</f>
        <v>3214365.0000000005</v>
      </c>
    </row>
    <row r="32" spans="1:11" x14ac:dyDescent="0.2">
      <c r="F32" s="18" t="s">
        <v>23</v>
      </c>
      <c r="G32" s="8" t="s">
        <v>19</v>
      </c>
      <c r="H32" s="11">
        <f>$C$25</f>
        <v>4000000</v>
      </c>
      <c r="I32" s="11"/>
      <c r="J32" s="11"/>
      <c r="K32" s="11"/>
    </row>
    <row r="33" spans="5:11" x14ac:dyDescent="0.2">
      <c r="G33" s="8" t="s">
        <v>20</v>
      </c>
      <c r="H33" s="11">
        <v>0</v>
      </c>
      <c r="I33" s="81">
        <f>$C$26</f>
        <v>1000000</v>
      </c>
      <c r="J33" s="11">
        <f>$C$26</f>
        <v>1000000</v>
      </c>
      <c r="K33" s="11">
        <f>$C$26</f>
        <v>1000000</v>
      </c>
    </row>
    <row r="34" spans="5:11" x14ac:dyDescent="0.2">
      <c r="G34" s="8" t="s">
        <v>61</v>
      </c>
      <c r="H34" s="11">
        <f>1*H32</f>
        <v>4000000</v>
      </c>
      <c r="I34" s="11">
        <f>I29-I30-I31-I33</f>
        <v>8804900</v>
      </c>
      <c r="J34" s="11">
        <f>J29-J30-J31-J33</f>
        <v>10196616.199999999</v>
      </c>
      <c r="K34" s="11">
        <f>K29-SUM(K30:K33)</f>
        <v>11782197.104599997</v>
      </c>
    </row>
    <row r="35" spans="5:11" x14ac:dyDescent="0.2">
      <c r="G35" s="13" t="s">
        <v>16</v>
      </c>
      <c r="H35" s="11"/>
      <c r="I35" s="11">
        <f>$C$7*I34</f>
        <v>3081715</v>
      </c>
      <c r="J35" s="11">
        <f>$C$7*J34</f>
        <v>3568815.6699999995</v>
      </c>
      <c r="K35" s="79">
        <f>$C$7*K34</f>
        <v>4123768.9866099986</v>
      </c>
    </row>
    <row r="36" spans="5:11" ht="16" thickBot="1" x14ac:dyDescent="0.25">
      <c r="G36" s="8" t="s">
        <v>15</v>
      </c>
      <c r="H36" s="19">
        <f>H34-H35</f>
        <v>4000000</v>
      </c>
      <c r="I36" s="19">
        <f>I34-I35</f>
        <v>5723185</v>
      </c>
      <c r="J36" s="19">
        <f>J34-J35</f>
        <v>6627800.5299999993</v>
      </c>
      <c r="K36" s="19">
        <f>K34-K35</f>
        <v>7658428.1179899983</v>
      </c>
    </row>
    <row r="37" spans="5:11" ht="16" thickTop="1" x14ac:dyDescent="0.2">
      <c r="G37" s="6" t="s">
        <v>17</v>
      </c>
      <c r="H37" s="16">
        <f>H36</f>
        <v>4000000</v>
      </c>
      <c r="I37" s="16">
        <f t="shared" ref="I37:K37" si="1">I36</f>
        <v>5723185</v>
      </c>
      <c r="J37" s="16">
        <f t="shared" si="1"/>
        <v>6627800.5299999993</v>
      </c>
      <c r="K37" s="16">
        <f t="shared" si="1"/>
        <v>7658428.1179899983</v>
      </c>
    </row>
    <row r="40" spans="5:11" ht="18" x14ac:dyDescent="0.2">
      <c r="H40" s="85" t="s">
        <v>24</v>
      </c>
      <c r="I40" s="85"/>
      <c r="J40" s="85"/>
      <c r="K40" s="85"/>
    </row>
    <row r="41" spans="5:11" ht="16" thickBot="1" x14ac:dyDescent="0.25">
      <c r="G41" s="2"/>
      <c r="H41" s="5" t="s">
        <v>5</v>
      </c>
      <c r="I41" s="5" t="s">
        <v>6</v>
      </c>
      <c r="J41" s="5" t="s">
        <v>7</v>
      </c>
      <c r="K41" s="5" t="s">
        <v>8</v>
      </c>
    </row>
    <row r="42" spans="5:11" x14ac:dyDescent="0.2">
      <c r="F42" s="18" t="s">
        <v>25</v>
      </c>
      <c r="G42" s="6"/>
      <c r="H42" s="16">
        <f>H37-H21</f>
        <v>4000000</v>
      </c>
      <c r="I42" s="20">
        <f>I37-I21</f>
        <v>1378975</v>
      </c>
      <c r="J42" s="20">
        <f>J37-J21</f>
        <v>1934068.5909999982</v>
      </c>
      <c r="K42" s="20">
        <f>K37-K21</f>
        <v>2591339.5674048951</v>
      </c>
    </row>
    <row r="43" spans="5:11" x14ac:dyDescent="0.2">
      <c r="G43" s="8"/>
      <c r="H43" s="9"/>
      <c r="I43" s="10"/>
      <c r="J43" s="11"/>
      <c r="K43" s="11"/>
    </row>
    <row r="44" spans="5:11" x14ac:dyDescent="0.2">
      <c r="F44" s="18" t="s">
        <v>59</v>
      </c>
      <c r="G44" s="21">
        <f>NPV(12%,I42,J42,K42)-H42</f>
        <v>617519.63753650803</v>
      </c>
    </row>
    <row r="46" spans="5:11" ht="18" x14ac:dyDescent="0.2">
      <c r="E46" s="1" t="s">
        <v>26</v>
      </c>
    </row>
    <row r="47" spans="5:11" x14ac:dyDescent="0.2">
      <c r="F47" s="83" t="s">
        <v>109</v>
      </c>
      <c r="G47" s="84"/>
      <c r="H47" s="84"/>
      <c r="I47" s="84"/>
      <c r="J47" s="84"/>
      <c r="K47" s="84"/>
    </row>
    <row r="48" spans="5:11" x14ac:dyDescent="0.2">
      <c r="F48" s="84"/>
      <c r="G48" s="84"/>
      <c r="H48" s="84"/>
      <c r="I48" s="84"/>
      <c r="J48" s="84"/>
      <c r="K48" s="84"/>
    </row>
    <row r="49" spans="6:11" x14ac:dyDescent="0.2">
      <c r="F49" s="84"/>
      <c r="G49" s="84"/>
      <c r="H49" s="84"/>
      <c r="I49" s="84"/>
      <c r="J49" s="84"/>
      <c r="K49" s="84"/>
    </row>
    <row r="50" spans="6:11" x14ac:dyDescent="0.2">
      <c r="F50" s="84"/>
      <c r="G50" s="84"/>
      <c r="H50" s="84"/>
      <c r="I50" s="84"/>
      <c r="J50" s="84"/>
      <c r="K50" s="84"/>
    </row>
    <row r="51" spans="6:11" x14ac:dyDescent="0.2">
      <c r="F51" s="84"/>
      <c r="G51" s="84"/>
      <c r="H51" s="84"/>
      <c r="I51" s="84"/>
      <c r="J51" s="84"/>
      <c r="K51" s="84"/>
    </row>
  </sheetData>
  <mergeCells count="7">
    <mergeCell ref="F47:K51"/>
    <mergeCell ref="H10:K10"/>
    <mergeCell ref="A1:F1"/>
    <mergeCell ref="A10:C10"/>
    <mergeCell ref="A24:C24"/>
    <mergeCell ref="H24:K24"/>
    <mergeCell ref="H40:K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zoomScale="85" workbookViewId="0">
      <selection sqref="A1:O50"/>
    </sheetView>
  </sheetViews>
  <sheetFormatPr baseColWidth="10" defaultColWidth="8.83203125" defaultRowHeight="15" x14ac:dyDescent="0.2"/>
  <cols>
    <col min="1" max="1" width="15.83203125" customWidth="1"/>
    <col min="2" max="2" width="15" customWidth="1"/>
    <col min="3" max="3" width="13.83203125" customWidth="1"/>
    <col min="4" max="4" width="13.5" customWidth="1"/>
    <col min="5" max="5" width="16.5" customWidth="1"/>
    <col min="6" max="6" width="13.33203125" customWidth="1"/>
    <col min="7" max="7" width="13.83203125" customWidth="1"/>
    <col min="8" max="8" width="14.5" customWidth="1"/>
    <col min="9" max="9" width="12.33203125" customWidth="1"/>
    <col min="10" max="10" width="13.5" customWidth="1"/>
    <col min="11" max="11" width="11.1640625" bestFit="1" customWidth="1"/>
    <col min="12" max="12" width="10.1640625" bestFit="1" customWidth="1"/>
  </cols>
  <sheetData>
    <row r="1" spans="1:12" ht="24" x14ac:dyDescent="0.3">
      <c r="B1" s="22" t="s">
        <v>27</v>
      </c>
    </row>
    <row r="2" spans="1:12" ht="25" thickBot="1" x14ac:dyDescent="0.35">
      <c r="B2" s="22"/>
      <c r="D2" s="22"/>
      <c r="E2" s="22"/>
      <c r="F2" s="22"/>
    </row>
    <row r="3" spans="1:12" ht="16" x14ac:dyDescent="0.2">
      <c r="A3" s="23"/>
      <c r="B3" s="86" t="s">
        <v>28</v>
      </c>
      <c r="C3" s="86"/>
      <c r="D3" s="24"/>
      <c r="E3" s="24"/>
      <c r="F3" s="25"/>
    </row>
    <row r="4" spans="1:12" x14ac:dyDescent="0.2">
      <c r="A4" s="26"/>
      <c r="B4" s="27"/>
      <c r="C4" s="27"/>
      <c r="D4" s="28"/>
      <c r="E4" s="28"/>
      <c r="F4" s="29"/>
    </row>
    <row r="5" spans="1:12" x14ac:dyDescent="0.2">
      <c r="A5" s="26" t="s">
        <v>29</v>
      </c>
      <c r="B5" s="71">
        <v>175000</v>
      </c>
      <c r="C5" s="28"/>
      <c r="D5" s="91" t="s">
        <v>30</v>
      </c>
      <c r="E5" s="91"/>
      <c r="F5" s="72">
        <v>0.06</v>
      </c>
    </row>
    <row r="6" spans="1:12" x14ac:dyDescent="0.2">
      <c r="A6" s="26" t="s">
        <v>31</v>
      </c>
      <c r="B6" s="73">
        <v>0.03</v>
      </c>
      <c r="C6" s="28"/>
      <c r="D6" s="28" t="s">
        <v>32</v>
      </c>
      <c r="E6" s="28"/>
      <c r="F6" s="72">
        <v>0.05</v>
      </c>
    </row>
    <row r="7" spans="1:12" x14ac:dyDescent="0.2">
      <c r="A7" s="30" t="s">
        <v>33</v>
      </c>
      <c r="B7" s="74">
        <v>0.08</v>
      </c>
      <c r="C7" s="28"/>
      <c r="D7" s="31" t="s">
        <v>34</v>
      </c>
      <c r="E7" s="31"/>
      <c r="F7" s="75">
        <v>10000</v>
      </c>
    </row>
    <row r="8" spans="1:12" ht="16" thickBot="1" x14ac:dyDescent="0.25">
      <c r="A8" s="32"/>
      <c r="B8" s="33"/>
      <c r="C8" s="33"/>
      <c r="D8" s="33" t="s">
        <v>35</v>
      </c>
      <c r="E8" s="34"/>
      <c r="F8" s="76">
        <v>0.04</v>
      </c>
    </row>
    <row r="9" spans="1:12" ht="16" thickBot="1" x14ac:dyDescent="0.25">
      <c r="D9" s="35"/>
      <c r="E9" s="35"/>
      <c r="F9" s="36"/>
    </row>
    <row r="10" spans="1:12" x14ac:dyDescent="0.2">
      <c r="C10" s="87" t="s">
        <v>36</v>
      </c>
      <c r="D10" s="88"/>
      <c r="E10" s="88"/>
      <c r="F10" s="88"/>
      <c r="G10" s="89"/>
      <c r="H10" s="87" t="s">
        <v>37</v>
      </c>
      <c r="I10" s="88"/>
      <c r="J10" s="88"/>
      <c r="K10" s="89"/>
    </row>
    <row r="11" spans="1:12" s="40" customFormat="1" ht="30" x14ac:dyDescent="0.2">
      <c r="A11" s="37" t="s">
        <v>38</v>
      </c>
      <c r="B11" s="37" t="s">
        <v>39</v>
      </c>
      <c r="C11" s="38" t="s">
        <v>40</v>
      </c>
      <c r="D11" s="37" t="s">
        <v>41</v>
      </c>
      <c r="E11" s="37" t="s">
        <v>42</v>
      </c>
      <c r="F11" s="37" t="s">
        <v>105</v>
      </c>
      <c r="G11" s="39" t="s">
        <v>43</v>
      </c>
      <c r="H11" s="38" t="s">
        <v>44</v>
      </c>
      <c r="I11" s="37" t="s">
        <v>45</v>
      </c>
      <c r="J11" s="37" t="s">
        <v>106</v>
      </c>
      <c r="K11" s="39" t="s">
        <v>46</v>
      </c>
      <c r="L11" s="37" t="s">
        <v>47</v>
      </c>
    </row>
    <row r="12" spans="1:12" x14ac:dyDescent="0.2">
      <c r="A12" s="41">
        <v>40</v>
      </c>
      <c r="B12" s="53">
        <f>IF(A12="","",$B$5)</f>
        <v>175000</v>
      </c>
      <c r="C12" s="54">
        <v>225000</v>
      </c>
      <c r="D12" s="55">
        <f>PRODUCT($B12*$F$5)</f>
        <v>10500</v>
      </c>
      <c r="E12" s="55">
        <f>PRODUCT($B12*$F$6)</f>
        <v>8750</v>
      </c>
      <c r="F12" s="53">
        <f>PRODUCT(C12+D12+E12)*$B$7</f>
        <v>19540</v>
      </c>
      <c r="G12" s="56">
        <f>SUM(C12:F12)</f>
        <v>263790</v>
      </c>
      <c r="H12" s="57">
        <v>85000</v>
      </c>
      <c r="I12" s="58">
        <f>$F$7</f>
        <v>10000</v>
      </c>
      <c r="J12" s="58">
        <f>(H12+I12)*$B$7</f>
        <v>7600</v>
      </c>
      <c r="K12" s="56">
        <f>SUM(H12:J12)</f>
        <v>102600</v>
      </c>
      <c r="L12" s="59">
        <f>G12+K12</f>
        <v>366390</v>
      </c>
    </row>
    <row r="13" spans="1:12" x14ac:dyDescent="0.2">
      <c r="A13" s="41">
        <f>A12+1</f>
        <v>41</v>
      </c>
      <c r="B13" s="60">
        <f>IF(A12="","",B12*(1+$B$6))</f>
        <v>180250</v>
      </c>
      <c r="C13" s="61">
        <f>G12</f>
        <v>263790</v>
      </c>
      <c r="D13" s="62">
        <f t="shared" ref="D13:D37" si="0">PRODUCT($B13*$F$5)</f>
        <v>10815</v>
      </c>
      <c r="E13" s="63">
        <f t="shared" ref="E13:E37" si="1">PRODUCT($B13*$F$6)</f>
        <v>9012.5</v>
      </c>
      <c r="F13" s="60">
        <f t="shared" ref="F13:F37" si="2">PRODUCT(C13+D13+E13)*$B$7</f>
        <v>22689.4</v>
      </c>
      <c r="G13" s="64">
        <f t="shared" ref="G13:G37" si="3">SUM(C13:F13)</f>
        <v>306306.90000000002</v>
      </c>
      <c r="H13" s="61">
        <f>K12</f>
        <v>102600</v>
      </c>
      <c r="I13" s="63">
        <f>PRODUCT(I12*$F$8)+I12</f>
        <v>10400</v>
      </c>
      <c r="J13" s="63">
        <f t="shared" ref="J13:J37" si="4">(H13+I13)*$B$7</f>
        <v>9040</v>
      </c>
      <c r="K13" s="64">
        <f t="shared" ref="K13:K37" si="5">SUM(H13:J13)</f>
        <v>122040</v>
      </c>
      <c r="L13" s="65">
        <f t="shared" ref="L13:L37" si="6">G13+K13</f>
        <v>428346.9</v>
      </c>
    </row>
    <row r="14" spans="1:12" x14ac:dyDescent="0.2">
      <c r="A14" s="41">
        <f t="shared" ref="A14:A37" si="7">A13+1</f>
        <v>42</v>
      </c>
      <c r="B14" s="60">
        <f t="shared" ref="B14:B37" si="8">IF(A13="","",B13*(1+$B$6))</f>
        <v>185657.5</v>
      </c>
      <c r="C14" s="61">
        <f t="shared" ref="C14:C37" si="9">G13</f>
        <v>306306.90000000002</v>
      </c>
      <c r="D14" s="62">
        <f t="shared" si="0"/>
        <v>11139.449999999999</v>
      </c>
      <c r="E14" s="63">
        <f t="shared" si="1"/>
        <v>9282.875</v>
      </c>
      <c r="F14" s="60">
        <f t="shared" si="2"/>
        <v>26138.338000000003</v>
      </c>
      <c r="G14" s="64">
        <f t="shared" si="3"/>
        <v>352867.56300000002</v>
      </c>
      <c r="H14" s="61">
        <f t="shared" ref="H14:H37" si="10">K13</f>
        <v>122040</v>
      </c>
      <c r="I14" s="63">
        <f t="shared" ref="I14:I37" si="11">PRODUCT(I13*$F$8)+I13</f>
        <v>10816</v>
      </c>
      <c r="J14" s="63">
        <f t="shared" si="4"/>
        <v>10628.48</v>
      </c>
      <c r="K14" s="64">
        <f t="shared" si="5"/>
        <v>143484.48000000001</v>
      </c>
      <c r="L14" s="65">
        <f t="shared" si="6"/>
        <v>496352.04300000006</v>
      </c>
    </row>
    <row r="15" spans="1:12" x14ac:dyDescent="0.2">
      <c r="A15" s="41">
        <f t="shared" si="7"/>
        <v>43</v>
      </c>
      <c r="B15" s="60">
        <f t="shared" si="8"/>
        <v>191227.22500000001</v>
      </c>
      <c r="C15" s="61">
        <f t="shared" si="9"/>
        <v>352867.56300000002</v>
      </c>
      <c r="D15" s="62">
        <f t="shared" si="0"/>
        <v>11473.6335</v>
      </c>
      <c r="E15" s="63">
        <f t="shared" si="1"/>
        <v>9561.3612499999999</v>
      </c>
      <c r="F15" s="60">
        <f t="shared" si="2"/>
        <v>29912.204620000004</v>
      </c>
      <c r="G15" s="64">
        <f t="shared" si="3"/>
        <v>403814.76237000001</v>
      </c>
      <c r="H15" s="61">
        <f t="shared" si="10"/>
        <v>143484.48000000001</v>
      </c>
      <c r="I15" s="63">
        <f t="shared" si="11"/>
        <v>11248.64</v>
      </c>
      <c r="J15" s="63">
        <f t="shared" si="4"/>
        <v>12378.649600000001</v>
      </c>
      <c r="K15" s="64">
        <f t="shared" si="5"/>
        <v>167111.7696</v>
      </c>
      <c r="L15" s="65">
        <f t="shared" si="6"/>
        <v>570926.53197000001</v>
      </c>
    </row>
    <row r="16" spans="1:12" x14ac:dyDescent="0.2">
      <c r="A16" s="41">
        <f t="shared" si="7"/>
        <v>44</v>
      </c>
      <c r="B16" s="60">
        <f t="shared" si="8"/>
        <v>196964.04175</v>
      </c>
      <c r="C16" s="61">
        <f t="shared" si="9"/>
        <v>403814.76237000001</v>
      </c>
      <c r="D16" s="62">
        <f t="shared" si="0"/>
        <v>11817.842505000001</v>
      </c>
      <c r="E16" s="63">
        <f t="shared" si="1"/>
        <v>9848.2020875000017</v>
      </c>
      <c r="F16" s="60">
        <f t="shared" si="2"/>
        <v>34038.464557000007</v>
      </c>
      <c r="G16" s="64">
        <f t="shared" si="3"/>
        <v>459519.27151950006</v>
      </c>
      <c r="H16" s="61">
        <f t="shared" si="10"/>
        <v>167111.7696</v>
      </c>
      <c r="I16" s="63">
        <f t="shared" si="11"/>
        <v>11698.585599999999</v>
      </c>
      <c r="J16" s="63">
        <f t="shared" si="4"/>
        <v>14304.828416</v>
      </c>
      <c r="K16" s="64">
        <f t="shared" si="5"/>
        <v>193115.18361599999</v>
      </c>
      <c r="L16" s="65">
        <f t="shared" si="6"/>
        <v>652634.45513550006</v>
      </c>
    </row>
    <row r="17" spans="1:12" x14ac:dyDescent="0.2">
      <c r="A17" s="41">
        <f t="shared" si="7"/>
        <v>45</v>
      </c>
      <c r="B17" s="60">
        <f t="shared" si="8"/>
        <v>202872.96300250001</v>
      </c>
      <c r="C17" s="61">
        <f t="shared" si="9"/>
        <v>459519.27151950006</v>
      </c>
      <c r="D17" s="62">
        <f t="shared" si="0"/>
        <v>12172.37778015</v>
      </c>
      <c r="E17" s="63">
        <f t="shared" si="1"/>
        <v>10143.648150125002</v>
      </c>
      <c r="F17" s="60">
        <f t="shared" si="2"/>
        <v>38546.823795982004</v>
      </c>
      <c r="G17" s="64">
        <f t="shared" si="3"/>
        <v>520382.12124575704</v>
      </c>
      <c r="H17" s="61">
        <f t="shared" si="10"/>
        <v>193115.18361599999</v>
      </c>
      <c r="I17" s="63">
        <f t="shared" si="11"/>
        <v>12166.529023999998</v>
      </c>
      <c r="J17" s="63">
        <f t="shared" si="4"/>
        <v>16422.537011199998</v>
      </c>
      <c r="K17" s="64">
        <f t="shared" si="5"/>
        <v>221704.24965119999</v>
      </c>
      <c r="L17" s="65">
        <f t="shared" si="6"/>
        <v>742086.370896957</v>
      </c>
    </row>
    <row r="18" spans="1:12" x14ac:dyDescent="0.2">
      <c r="A18" s="41">
        <f t="shared" si="7"/>
        <v>46</v>
      </c>
      <c r="B18" s="60">
        <f t="shared" si="8"/>
        <v>208959.15189257503</v>
      </c>
      <c r="C18" s="61">
        <f t="shared" si="9"/>
        <v>520382.12124575704</v>
      </c>
      <c r="D18" s="62">
        <f t="shared" si="0"/>
        <v>12537.549113554502</v>
      </c>
      <c r="E18" s="63">
        <f t="shared" si="1"/>
        <v>10447.957594628751</v>
      </c>
      <c r="F18" s="60">
        <f t="shared" si="2"/>
        <v>43469.410236315227</v>
      </c>
      <c r="G18" s="64">
        <f t="shared" si="3"/>
        <v>586837.03819025552</v>
      </c>
      <c r="H18" s="61">
        <f t="shared" si="10"/>
        <v>221704.24965119999</v>
      </c>
      <c r="I18" s="63">
        <f t="shared" si="11"/>
        <v>12653.190184959998</v>
      </c>
      <c r="J18" s="63">
        <f t="shared" si="4"/>
        <v>18748.595186892799</v>
      </c>
      <c r="K18" s="64">
        <f t="shared" si="5"/>
        <v>253106.0350230528</v>
      </c>
      <c r="L18" s="65">
        <f t="shared" si="6"/>
        <v>839943.07321330835</v>
      </c>
    </row>
    <row r="19" spans="1:12" x14ac:dyDescent="0.2">
      <c r="A19" s="41">
        <f t="shared" si="7"/>
        <v>47</v>
      </c>
      <c r="B19" s="60">
        <f t="shared" si="8"/>
        <v>215227.92644935229</v>
      </c>
      <c r="C19" s="61">
        <f t="shared" si="9"/>
        <v>586837.03819025552</v>
      </c>
      <c r="D19" s="62">
        <f t="shared" si="0"/>
        <v>12913.675586961137</v>
      </c>
      <c r="E19" s="63">
        <f t="shared" si="1"/>
        <v>10761.396322467615</v>
      </c>
      <c r="F19" s="60">
        <f t="shared" si="2"/>
        <v>48840.968807974736</v>
      </c>
      <c r="G19" s="64">
        <f t="shared" si="3"/>
        <v>659353.07890765893</v>
      </c>
      <c r="H19" s="61">
        <f t="shared" si="10"/>
        <v>253106.0350230528</v>
      </c>
      <c r="I19" s="63">
        <f t="shared" si="11"/>
        <v>13159.317792358397</v>
      </c>
      <c r="J19" s="63">
        <f t="shared" si="4"/>
        <v>21301.228225232895</v>
      </c>
      <c r="K19" s="64">
        <f t="shared" si="5"/>
        <v>287566.58104064409</v>
      </c>
      <c r="L19" s="65">
        <f t="shared" si="6"/>
        <v>946919.65994830301</v>
      </c>
    </row>
    <row r="20" spans="1:12" x14ac:dyDescent="0.2">
      <c r="A20" s="41">
        <f t="shared" si="7"/>
        <v>48</v>
      </c>
      <c r="B20" s="60">
        <f t="shared" si="8"/>
        <v>221684.76424283287</v>
      </c>
      <c r="C20" s="61">
        <f t="shared" si="9"/>
        <v>659353.07890765893</v>
      </c>
      <c r="D20" s="62">
        <f t="shared" si="0"/>
        <v>13301.085854569972</v>
      </c>
      <c r="E20" s="63">
        <f t="shared" si="1"/>
        <v>11084.238212141645</v>
      </c>
      <c r="F20" s="60">
        <f t="shared" si="2"/>
        <v>54699.072237949644</v>
      </c>
      <c r="G20" s="64">
        <f t="shared" si="3"/>
        <v>738437.47521232022</v>
      </c>
      <c r="H20" s="61">
        <f t="shared" si="10"/>
        <v>287566.58104064409</v>
      </c>
      <c r="I20" s="63">
        <f t="shared" si="11"/>
        <v>13685.690504052733</v>
      </c>
      <c r="J20" s="63">
        <f t="shared" si="4"/>
        <v>24100.181723575744</v>
      </c>
      <c r="K20" s="64">
        <f t="shared" si="5"/>
        <v>325352.45326827257</v>
      </c>
      <c r="L20" s="65">
        <f t="shared" si="6"/>
        <v>1063789.9284805928</v>
      </c>
    </row>
    <row r="21" spans="1:12" x14ac:dyDescent="0.2">
      <c r="A21" s="41">
        <f t="shared" si="7"/>
        <v>49</v>
      </c>
      <c r="B21" s="60">
        <f t="shared" si="8"/>
        <v>228335.30717011786</v>
      </c>
      <c r="C21" s="61">
        <f t="shared" si="9"/>
        <v>738437.47521232022</v>
      </c>
      <c r="D21" s="62">
        <f t="shared" si="0"/>
        <v>13700.118430207071</v>
      </c>
      <c r="E21" s="63">
        <f t="shared" si="1"/>
        <v>11416.765358505894</v>
      </c>
      <c r="F21" s="60">
        <f t="shared" si="2"/>
        <v>61084.348720082649</v>
      </c>
      <c r="G21" s="64">
        <f t="shared" si="3"/>
        <v>824638.70772111579</v>
      </c>
      <c r="H21" s="61">
        <f t="shared" si="10"/>
        <v>325352.45326827257</v>
      </c>
      <c r="I21" s="63">
        <f t="shared" si="11"/>
        <v>14233.118124214841</v>
      </c>
      <c r="J21" s="63">
        <f t="shared" si="4"/>
        <v>27166.84571139899</v>
      </c>
      <c r="K21" s="64">
        <f t="shared" si="5"/>
        <v>366752.41710388637</v>
      </c>
      <c r="L21" s="65">
        <f t="shared" si="6"/>
        <v>1191391.1248250022</v>
      </c>
    </row>
    <row r="22" spans="1:12" x14ac:dyDescent="0.2">
      <c r="A22" s="41">
        <f t="shared" si="7"/>
        <v>50</v>
      </c>
      <c r="B22" s="60">
        <f t="shared" si="8"/>
        <v>235185.36638522139</v>
      </c>
      <c r="C22" s="61">
        <f t="shared" si="9"/>
        <v>824638.70772111579</v>
      </c>
      <c r="D22" s="62">
        <f t="shared" si="0"/>
        <v>14111.121983113284</v>
      </c>
      <c r="E22" s="63">
        <f t="shared" si="1"/>
        <v>11759.268319261071</v>
      </c>
      <c r="F22" s="60">
        <f t="shared" si="2"/>
        <v>68040.727841879212</v>
      </c>
      <c r="G22" s="64">
        <f t="shared" si="3"/>
        <v>918549.82586536929</v>
      </c>
      <c r="H22" s="61">
        <f t="shared" si="10"/>
        <v>366752.41710388637</v>
      </c>
      <c r="I22" s="63">
        <f t="shared" si="11"/>
        <v>14802.442849183435</v>
      </c>
      <c r="J22" s="63">
        <f t="shared" si="4"/>
        <v>30524.388796245588</v>
      </c>
      <c r="K22" s="64">
        <f t="shared" si="5"/>
        <v>412079.24874931539</v>
      </c>
      <c r="L22" s="65">
        <f t="shared" si="6"/>
        <v>1330629.0746146846</v>
      </c>
    </row>
    <row r="23" spans="1:12" x14ac:dyDescent="0.2">
      <c r="A23" s="41">
        <f t="shared" si="7"/>
        <v>51</v>
      </c>
      <c r="B23" s="60">
        <f t="shared" si="8"/>
        <v>242240.92737677804</v>
      </c>
      <c r="C23" s="61">
        <f t="shared" si="9"/>
        <v>918549.82586536929</v>
      </c>
      <c r="D23" s="62">
        <f t="shared" si="0"/>
        <v>14534.455642606681</v>
      </c>
      <c r="E23" s="63">
        <f t="shared" si="1"/>
        <v>12112.046368838903</v>
      </c>
      <c r="F23" s="60">
        <f t="shared" si="2"/>
        <v>75615.706230145195</v>
      </c>
      <c r="G23" s="64">
        <f t="shared" si="3"/>
        <v>1020812.0341069601</v>
      </c>
      <c r="H23" s="61">
        <f t="shared" si="10"/>
        <v>412079.24874931539</v>
      </c>
      <c r="I23" s="63">
        <f t="shared" si="11"/>
        <v>15394.540563150773</v>
      </c>
      <c r="J23" s="63">
        <f t="shared" si="4"/>
        <v>34197.903144997297</v>
      </c>
      <c r="K23" s="64">
        <f t="shared" si="5"/>
        <v>461671.69245746348</v>
      </c>
      <c r="L23" s="65">
        <f t="shared" si="6"/>
        <v>1482483.7265644236</v>
      </c>
    </row>
    <row r="24" spans="1:12" x14ac:dyDescent="0.2">
      <c r="A24" s="41">
        <f t="shared" si="7"/>
        <v>52</v>
      </c>
      <c r="B24" s="60">
        <f t="shared" si="8"/>
        <v>249508.1551980814</v>
      </c>
      <c r="C24" s="61">
        <f t="shared" si="9"/>
        <v>1020812.0341069601</v>
      </c>
      <c r="D24" s="62">
        <f t="shared" si="0"/>
        <v>14970.489311884883</v>
      </c>
      <c r="E24" s="63">
        <f t="shared" si="1"/>
        <v>12475.40775990407</v>
      </c>
      <c r="F24" s="60">
        <f t="shared" si="2"/>
        <v>83860.634494299913</v>
      </c>
      <c r="G24" s="64">
        <f t="shared" si="3"/>
        <v>1132118.5656730488</v>
      </c>
      <c r="H24" s="61">
        <f t="shared" si="10"/>
        <v>461671.69245746348</v>
      </c>
      <c r="I24" s="63">
        <f t="shared" si="11"/>
        <v>16010.322185676803</v>
      </c>
      <c r="J24" s="63">
        <f t="shared" si="4"/>
        <v>38214.56117145122</v>
      </c>
      <c r="K24" s="64">
        <f t="shared" si="5"/>
        <v>515896.57581459149</v>
      </c>
      <c r="L24" s="65">
        <f t="shared" si="6"/>
        <v>1648015.1414876403</v>
      </c>
    </row>
    <row r="25" spans="1:12" x14ac:dyDescent="0.2">
      <c r="A25" s="41">
        <f t="shared" si="7"/>
        <v>53</v>
      </c>
      <c r="B25" s="60">
        <f t="shared" si="8"/>
        <v>256993.39985402385</v>
      </c>
      <c r="C25" s="61">
        <f t="shared" si="9"/>
        <v>1132118.5656730488</v>
      </c>
      <c r="D25" s="62">
        <f t="shared" si="0"/>
        <v>15419.603991241431</v>
      </c>
      <c r="E25" s="63">
        <f t="shared" si="1"/>
        <v>12849.669992701194</v>
      </c>
      <c r="F25" s="60">
        <f t="shared" si="2"/>
        <v>92831.027172559319</v>
      </c>
      <c r="G25" s="64">
        <f t="shared" si="3"/>
        <v>1253218.8668295508</v>
      </c>
      <c r="H25" s="61">
        <f t="shared" si="10"/>
        <v>515896.57581459149</v>
      </c>
      <c r="I25" s="63">
        <f t="shared" si="11"/>
        <v>16650.735073103875</v>
      </c>
      <c r="J25" s="63">
        <f t="shared" si="4"/>
        <v>42603.784871015632</v>
      </c>
      <c r="K25" s="64">
        <f t="shared" si="5"/>
        <v>575151.09575871099</v>
      </c>
      <c r="L25" s="65">
        <f t="shared" si="6"/>
        <v>1828369.9625882618</v>
      </c>
    </row>
    <row r="26" spans="1:12" x14ac:dyDescent="0.2">
      <c r="A26" s="41">
        <f t="shared" si="7"/>
        <v>54</v>
      </c>
      <c r="B26" s="60">
        <f t="shared" si="8"/>
        <v>264703.2018496446</v>
      </c>
      <c r="C26" s="61">
        <f t="shared" si="9"/>
        <v>1253218.8668295508</v>
      </c>
      <c r="D26" s="62">
        <f t="shared" si="0"/>
        <v>15882.192110978674</v>
      </c>
      <c r="E26" s="63">
        <f t="shared" si="1"/>
        <v>13235.160092482231</v>
      </c>
      <c r="F26" s="60">
        <f t="shared" si="2"/>
        <v>102586.89752264095</v>
      </c>
      <c r="G26" s="64">
        <f t="shared" si="3"/>
        <v>1384923.1165556528</v>
      </c>
      <c r="H26" s="61">
        <f t="shared" si="10"/>
        <v>575151.09575871099</v>
      </c>
      <c r="I26" s="63">
        <f t="shared" si="11"/>
        <v>17316.764476028031</v>
      </c>
      <c r="J26" s="63">
        <f t="shared" si="4"/>
        <v>47397.428818779124</v>
      </c>
      <c r="K26" s="64">
        <f t="shared" si="5"/>
        <v>639865.28905351809</v>
      </c>
      <c r="L26" s="65">
        <f t="shared" si="6"/>
        <v>2024788.4056091709</v>
      </c>
    </row>
    <row r="27" spans="1:12" x14ac:dyDescent="0.2">
      <c r="A27" s="41">
        <f t="shared" si="7"/>
        <v>55</v>
      </c>
      <c r="B27" s="60">
        <f t="shared" si="8"/>
        <v>272644.29790513392</v>
      </c>
      <c r="C27" s="61">
        <f t="shared" si="9"/>
        <v>1384923.1165556528</v>
      </c>
      <c r="D27" s="62">
        <f t="shared" si="0"/>
        <v>16358.657874308035</v>
      </c>
      <c r="E27" s="63">
        <f t="shared" si="1"/>
        <v>13632.214895256697</v>
      </c>
      <c r="F27" s="60">
        <f t="shared" si="2"/>
        <v>113193.11914601742</v>
      </c>
      <c r="G27" s="64">
        <f t="shared" si="3"/>
        <v>1528107.108471235</v>
      </c>
      <c r="H27" s="61">
        <f t="shared" si="10"/>
        <v>639865.28905351809</v>
      </c>
      <c r="I27" s="63">
        <f t="shared" si="11"/>
        <v>18009.435055069152</v>
      </c>
      <c r="J27" s="63">
        <f t="shared" si="4"/>
        <v>52629.977928686982</v>
      </c>
      <c r="K27" s="64">
        <f t="shared" si="5"/>
        <v>710504.70203727426</v>
      </c>
      <c r="L27" s="65">
        <f t="shared" si="6"/>
        <v>2238611.8105085092</v>
      </c>
    </row>
    <row r="28" spans="1:12" x14ac:dyDescent="0.2">
      <c r="A28" s="41">
        <f t="shared" si="7"/>
        <v>56</v>
      </c>
      <c r="B28" s="60">
        <f t="shared" si="8"/>
        <v>280823.62684228795</v>
      </c>
      <c r="C28" s="61">
        <f t="shared" si="9"/>
        <v>1528107.108471235</v>
      </c>
      <c r="D28" s="62">
        <f t="shared" si="0"/>
        <v>16849.417610537275</v>
      </c>
      <c r="E28" s="63">
        <f t="shared" si="1"/>
        <v>14041.181342114398</v>
      </c>
      <c r="F28" s="60">
        <f t="shared" si="2"/>
        <v>124719.81659391095</v>
      </c>
      <c r="G28" s="64">
        <f t="shared" si="3"/>
        <v>1683717.5240177978</v>
      </c>
      <c r="H28" s="61">
        <f t="shared" si="10"/>
        <v>710504.70203727426</v>
      </c>
      <c r="I28" s="63">
        <f t="shared" si="11"/>
        <v>18729.812457271917</v>
      </c>
      <c r="J28" s="63">
        <f t="shared" si="4"/>
        <v>58338.761159563699</v>
      </c>
      <c r="K28" s="64">
        <f t="shared" si="5"/>
        <v>787573.27565410989</v>
      </c>
      <c r="L28" s="65">
        <f t="shared" si="6"/>
        <v>2471290.7996719079</v>
      </c>
    </row>
    <row r="29" spans="1:12" x14ac:dyDescent="0.2">
      <c r="A29" s="41">
        <f t="shared" si="7"/>
        <v>57</v>
      </c>
      <c r="B29" s="60">
        <f t="shared" si="8"/>
        <v>289248.33564755658</v>
      </c>
      <c r="C29" s="61">
        <f t="shared" si="9"/>
        <v>1683717.5240177978</v>
      </c>
      <c r="D29" s="62">
        <f t="shared" si="0"/>
        <v>17354.900138853394</v>
      </c>
      <c r="E29" s="63">
        <f t="shared" si="1"/>
        <v>14462.41678237783</v>
      </c>
      <c r="F29" s="60">
        <f t="shared" si="2"/>
        <v>137242.7872751223</v>
      </c>
      <c r="G29" s="64">
        <f t="shared" si="3"/>
        <v>1852777.6282141511</v>
      </c>
      <c r="H29" s="61">
        <f t="shared" si="10"/>
        <v>787573.27565410989</v>
      </c>
      <c r="I29" s="63">
        <f t="shared" si="11"/>
        <v>19479.004955562792</v>
      </c>
      <c r="J29" s="63">
        <f t="shared" si="4"/>
        <v>64564.182448773812</v>
      </c>
      <c r="K29" s="64">
        <f t="shared" si="5"/>
        <v>871616.46305844642</v>
      </c>
      <c r="L29" s="65">
        <f t="shared" si="6"/>
        <v>2724394.0912725977</v>
      </c>
    </row>
    <row r="30" spans="1:12" x14ac:dyDescent="0.2">
      <c r="A30" s="41">
        <f t="shared" si="7"/>
        <v>58</v>
      </c>
      <c r="B30" s="60">
        <f t="shared" si="8"/>
        <v>297925.78571698332</v>
      </c>
      <c r="C30" s="61">
        <f t="shared" si="9"/>
        <v>1852777.6282141511</v>
      </c>
      <c r="D30" s="62">
        <f t="shared" si="0"/>
        <v>17875.547143018997</v>
      </c>
      <c r="E30" s="63">
        <f t="shared" si="1"/>
        <v>14896.289285849167</v>
      </c>
      <c r="F30" s="60">
        <f t="shared" si="2"/>
        <v>150843.95717144155</v>
      </c>
      <c r="G30" s="64">
        <f t="shared" si="3"/>
        <v>2036393.4218144608</v>
      </c>
      <c r="H30" s="61">
        <f t="shared" si="10"/>
        <v>871616.46305844642</v>
      </c>
      <c r="I30" s="63">
        <f t="shared" si="11"/>
        <v>20258.165153785303</v>
      </c>
      <c r="J30" s="63">
        <f t="shared" si="4"/>
        <v>71349.97025697853</v>
      </c>
      <c r="K30" s="64">
        <f t="shared" si="5"/>
        <v>963224.59846921021</v>
      </c>
      <c r="L30" s="65">
        <f t="shared" si="6"/>
        <v>2999618.0202836711</v>
      </c>
    </row>
    <row r="31" spans="1:12" x14ac:dyDescent="0.2">
      <c r="A31" s="41">
        <f t="shared" si="7"/>
        <v>59</v>
      </c>
      <c r="B31" s="60">
        <f t="shared" si="8"/>
        <v>306863.55928849283</v>
      </c>
      <c r="C31" s="61">
        <f t="shared" si="9"/>
        <v>2036393.4218144608</v>
      </c>
      <c r="D31" s="62">
        <f t="shared" si="0"/>
        <v>18411.813557309568</v>
      </c>
      <c r="E31" s="63">
        <f t="shared" si="1"/>
        <v>15343.177964424642</v>
      </c>
      <c r="F31" s="60">
        <f t="shared" si="2"/>
        <v>165611.87306689561</v>
      </c>
      <c r="G31" s="64">
        <f t="shared" si="3"/>
        <v>2235760.2864030907</v>
      </c>
      <c r="H31" s="61">
        <f t="shared" si="10"/>
        <v>963224.59846921021</v>
      </c>
      <c r="I31" s="63">
        <f t="shared" si="11"/>
        <v>21068.491759936715</v>
      </c>
      <c r="J31" s="63">
        <f t="shared" si="4"/>
        <v>78743.447218331756</v>
      </c>
      <c r="K31" s="64">
        <f t="shared" si="5"/>
        <v>1063036.5374474786</v>
      </c>
      <c r="L31" s="65">
        <f t="shared" si="6"/>
        <v>3298796.8238505693</v>
      </c>
    </row>
    <row r="32" spans="1:12" x14ac:dyDescent="0.2">
      <c r="A32" s="41">
        <f t="shared" si="7"/>
        <v>60</v>
      </c>
      <c r="B32" s="60">
        <f t="shared" si="8"/>
        <v>316069.46606714762</v>
      </c>
      <c r="C32" s="61">
        <f t="shared" si="9"/>
        <v>2235760.2864030907</v>
      </c>
      <c r="D32" s="62">
        <f t="shared" si="0"/>
        <v>18964.167964028857</v>
      </c>
      <c r="E32" s="63">
        <f t="shared" si="1"/>
        <v>15803.473303357381</v>
      </c>
      <c r="F32" s="60">
        <f t="shared" si="2"/>
        <v>181642.23421363815</v>
      </c>
      <c r="G32" s="64">
        <f t="shared" si="3"/>
        <v>2452170.1618841151</v>
      </c>
      <c r="H32" s="61">
        <f t="shared" si="10"/>
        <v>1063036.5374474786</v>
      </c>
      <c r="I32" s="63">
        <f t="shared" si="11"/>
        <v>21911.231430334185</v>
      </c>
      <c r="J32" s="63">
        <f t="shared" si="4"/>
        <v>86795.82151022504</v>
      </c>
      <c r="K32" s="64">
        <f t="shared" si="5"/>
        <v>1171743.590388038</v>
      </c>
      <c r="L32" s="65">
        <f t="shared" si="6"/>
        <v>3623913.7522721533</v>
      </c>
    </row>
    <row r="33" spans="1:13" ht="15" customHeight="1" x14ac:dyDescent="0.2">
      <c r="A33" s="41">
        <f t="shared" si="7"/>
        <v>61</v>
      </c>
      <c r="B33" s="60">
        <f t="shared" si="8"/>
        <v>325551.55004916206</v>
      </c>
      <c r="C33" s="61">
        <f t="shared" si="9"/>
        <v>2452170.1618841151</v>
      </c>
      <c r="D33" s="62">
        <f t="shared" si="0"/>
        <v>19533.093002949721</v>
      </c>
      <c r="E33" s="63">
        <f t="shared" si="1"/>
        <v>16277.577502458103</v>
      </c>
      <c r="F33" s="60">
        <f t="shared" si="2"/>
        <v>199038.46659116182</v>
      </c>
      <c r="G33" s="64">
        <f t="shared" si="3"/>
        <v>2687019.2989806845</v>
      </c>
      <c r="H33" s="61">
        <f t="shared" si="10"/>
        <v>1171743.590388038</v>
      </c>
      <c r="I33" s="63">
        <f t="shared" si="11"/>
        <v>22787.680687547552</v>
      </c>
      <c r="J33" s="63">
        <f t="shared" si="4"/>
        <v>95562.501686046846</v>
      </c>
      <c r="K33" s="64">
        <f t="shared" si="5"/>
        <v>1290093.7727616325</v>
      </c>
      <c r="L33" s="65">
        <f t="shared" si="6"/>
        <v>3977113.0717423167</v>
      </c>
    </row>
    <row r="34" spans="1:13" ht="15" customHeight="1" x14ac:dyDescent="0.2">
      <c r="A34" s="41">
        <f t="shared" si="7"/>
        <v>62</v>
      </c>
      <c r="B34" s="60">
        <f t="shared" si="8"/>
        <v>335318.09655063692</v>
      </c>
      <c r="C34" s="61">
        <f t="shared" si="9"/>
        <v>2687019.2989806845</v>
      </c>
      <c r="D34" s="62">
        <f t="shared" si="0"/>
        <v>20119.085793038215</v>
      </c>
      <c r="E34" s="63">
        <f t="shared" si="1"/>
        <v>16765.904827531846</v>
      </c>
      <c r="F34" s="60">
        <f t="shared" si="2"/>
        <v>217912.34316810037</v>
      </c>
      <c r="G34" s="64">
        <f t="shared" si="3"/>
        <v>2941816.6327693551</v>
      </c>
      <c r="H34" s="61">
        <f t="shared" si="10"/>
        <v>1290093.7727616325</v>
      </c>
      <c r="I34" s="63">
        <f t="shared" si="11"/>
        <v>23699.187915049453</v>
      </c>
      <c r="J34" s="63">
        <f t="shared" si="4"/>
        <v>105103.43685413456</v>
      </c>
      <c r="K34" s="64">
        <f t="shared" si="5"/>
        <v>1418896.3975308165</v>
      </c>
      <c r="L34" s="65">
        <f t="shared" si="6"/>
        <v>4360713.030300172</v>
      </c>
    </row>
    <row r="35" spans="1:13" ht="15" customHeight="1" x14ac:dyDescent="0.2">
      <c r="A35" s="41">
        <f t="shared" si="7"/>
        <v>63</v>
      </c>
      <c r="B35" s="60">
        <f t="shared" si="8"/>
        <v>345377.63944715605</v>
      </c>
      <c r="C35" s="61">
        <f t="shared" si="9"/>
        <v>2941816.6327693551</v>
      </c>
      <c r="D35" s="62">
        <f t="shared" si="0"/>
        <v>20722.658366829361</v>
      </c>
      <c r="E35" s="63">
        <f t="shared" si="1"/>
        <v>17268.881972357802</v>
      </c>
      <c r="F35" s="60">
        <f t="shared" si="2"/>
        <v>238384.65384868335</v>
      </c>
      <c r="G35" s="64">
        <f t="shared" si="3"/>
        <v>3218192.8269572253</v>
      </c>
      <c r="H35" s="61">
        <f t="shared" si="10"/>
        <v>1418896.3975308165</v>
      </c>
      <c r="I35" s="63">
        <f t="shared" si="11"/>
        <v>24647.15543165143</v>
      </c>
      <c r="J35" s="63">
        <f t="shared" si="4"/>
        <v>115483.48423699744</v>
      </c>
      <c r="K35" s="64">
        <f t="shared" si="5"/>
        <v>1559027.0371994656</v>
      </c>
      <c r="L35" s="65">
        <f t="shared" si="6"/>
        <v>4777219.8641566914</v>
      </c>
    </row>
    <row r="36" spans="1:13" ht="15" customHeight="1" x14ac:dyDescent="0.2">
      <c r="A36" s="41">
        <f t="shared" si="7"/>
        <v>64</v>
      </c>
      <c r="B36" s="60">
        <f t="shared" si="8"/>
        <v>355738.96863057074</v>
      </c>
      <c r="C36" s="61">
        <f t="shared" si="9"/>
        <v>3218192.8269572253</v>
      </c>
      <c r="D36" s="62">
        <f t="shared" si="0"/>
        <v>21344.338117834242</v>
      </c>
      <c r="E36" s="63">
        <f t="shared" si="1"/>
        <v>17786.948431528537</v>
      </c>
      <c r="F36" s="60">
        <f t="shared" si="2"/>
        <v>260585.92908052707</v>
      </c>
      <c r="G36" s="64">
        <f t="shared" si="3"/>
        <v>3517910.0425871154</v>
      </c>
      <c r="H36" s="61">
        <f t="shared" si="10"/>
        <v>1559027.0371994656</v>
      </c>
      <c r="I36" s="63">
        <f t="shared" si="11"/>
        <v>25633.041648917486</v>
      </c>
      <c r="J36" s="63">
        <f t="shared" si="4"/>
        <v>126772.80630787066</v>
      </c>
      <c r="K36" s="64">
        <f t="shared" si="5"/>
        <v>1711432.8851562538</v>
      </c>
      <c r="L36" s="65">
        <f t="shared" si="6"/>
        <v>5229342.9277433697</v>
      </c>
    </row>
    <row r="37" spans="1:13" ht="15" customHeight="1" thickBot="1" x14ac:dyDescent="0.25">
      <c r="A37" s="41">
        <f t="shared" si="7"/>
        <v>65</v>
      </c>
      <c r="B37" s="60">
        <f t="shared" si="8"/>
        <v>366411.13768948789</v>
      </c>
      <c r="C37" s="61">
        <f t="shared" si="9"/>
        <v>3517910.0425871154</v>
      </c>
      <c r="D37" s="66">
        <f t="shared" si="0"/>
        <v>21984.668261369272</v>
      </c>
      <c r="E37" s="67">
        <f t="shared" si="1"/>
        <v>18320.556884474394</v>
      </c>
      <c r="F37" s="68">
        <f t="shared" si="2"/>
        <v>284657.22141863673</v>
      </c>
      <c r="G37" s="69">
        <f t="shared" si="3"/>
        <v>3842872.4891515961</v>
      </c>
      <c r="H37" s="61">
        <f t="shared" si="10"/>
        <v>1711432.8851562538</v>
      </c>
      <c r="I37" s="63">
        <f t="shared" si="11"/>
        <v>26658.363314874186</v>
      </c>
      <c r="J37" s="67">
        <f t="shared" si="4"/>
        <v>139047.29987769024</v>
      </c>
      <c r="K37" s="69">
        <f t="shared" si="5"/>
        <v>1877138.5483488182</v>
      </c>
      <c r="L37" s="70">
        <f t="shared" si="6"/>
        <v>5720011.0375004141</v>
      </c>
      <c r="M37" s="41"/>
    </row>
    <row r="38" spans="1:13" x14ac:dyDescent="0.2">
      <c r="B38" s="45"/>
      <c r="C38" s="45"/>
      <c r="D38" s="45"/>
      <c r="E38" s="45"/>
      <c r="F38" s="45"/>
      <c r="G38" s="45"/>
    </row>
    <row r="39" spans="1:13" ht="21" x14ac:dyDescent="0.25">
      <c r="A39" s="46" t="s">
        <v>48</v>
      </c>
    </row>
    <row r="40" spans="1:13" x14ac:dyDescent="0.2">
      <c r="A40" s="90" t="s">
        <v>49</v>
      </c>
      <c r="D40" s="41" t="s">
        <v>50</v>
      </c>
      <c r="E40" s="41"/>
      <c r="F40" s="41"/>
    </row>
    <row r="41" spans="1:13" ht="15" customHeight="1" x14ac:dyDescent="0.2">
      <c r="A41" s="90"/>
      <c r="B41" s="47">
        <f>$L$37</f>
        <v>5720011.0375004141</v>
      </c>
      <c r="C41" s="48">
        <v>0.02</v>
      </c>
      <c r="D41" s="48">
        <v>0.03</v>
      </c>
      <c r="E41" s="48">
        <v>0.04</v>
      </c>
      <c r="F41" s="48">
        <v>0.05</v>
      </c>
      <c r="G41" s="48">
        <v>0.06</v>
      </c>
      <c r="H41" s="48">
        <v>7.0000000000000007E-2</v>
      </c>
      <c r="I41" s="48">
        <v>0.08</v>
      </c>
      <c r="J41" s="36"/>
    </row>
    <row r="42" spans="1:13" ht="15" customHeight="1" x14ac:dyDescent="0.2">
      <c r="A42" s="90"/>
      <c r="B42" s="48">
        <v>0.04</v>
      </c>
      <c r="C42" s="43">
        <f t="dataTable" ref="C42:I47" dt2D="1" dtr="1" r1="B6" r2="B7"/>
        <v>2680458.4993690271</v>
      </c>
      <c r="D42" s="43">
        <v>2813296.5687462995</v>
      </c>
      <c r="E42" s="43">
        <v>2967928.9045715732</v>
      </c>
      <c r="F42" s="43">
        <v>3148279.9895070121</v>
      </c>
      <c r="G42" s="43">
        <v>3358997.8686651001</v>
      </c>
      <c r="H42" s="43">
        <v>3605586.459522251</v>
      </c>
      <c r="I42" s="43">
        <v>3894561.4326043008</v>
      </c>
      <c r="J42" s="49"/>
    </row>
    <row r="43" spans="1:13" ht="15" customHeight="1" thickBot="1" x14ac:dyDescent="0.25">
      <c r="A43" s="90"/>
      <c r="B43" s="48">
        <v>0.06</v>
      </c>
      <c r="C43" s="43">
        <v>3819174.2713225773</v>
      </c>
      <c r="D43" s="50">
        <v>3979569.854420918</v>
      </c>
      <c r="E43" s="43">
        <v>4164968.3729830747</v>
      </c>
      <c r="F43" s="43">
        <v>4379738.5190480482</v>
      </c>
      <c r="G43" s="43">
        <v>4629038.8758892426</v>
      </c>
      <c r="H43" s="43">
        <v>4918960.4104116717</v>
      </c>
      <c r="I43" s="43">
        <v>5256694.0994745232</v>
      </c>
      <c r="J43" s="49"/>
    </row>
    <row r="44" spans="1:13" ht="15" customHeight="1" thickTop="1" thickBot="1" x14ac:dyDescent="0.25">
      <c r="A44" s="90"/>
      <c r="B44" s="48">
        <v>0.08</v>
      </c>
      <c r="C44" s="42">
        <v>5524315.0323356362</v>
      </c>
      <c r="D44" s="51">
        <v>5720011.0375004141</v>
      </c>
      <c r="E44" s="44">
        <v>5944581.4323016917</v>
      </c>
      <c r="F44" s="43">
        <v>6202909.6241430594</v>
      </c>
      <c r="G44" s="43">
        <v>6500743.5948539395</v>
      </c>
      <c r="H44" s="43">
        <v>6844849.6176726976</v>
      </c>
      <c r="I44" s="43">
        <v>7243192.8035945036</v>
      </c>
      <c r="J44" s="49"/>
    </row>
    <row r="45" spans="1:13" ht="15" customHeight="1" thickTop="1" x14ac:dyDescent="0.2">
      <c r="A45" s="90"/>
      <c r="B45" s="48">
        <v>0.1</v>
      </c>
      <c r="C45" s="43">
        <v>8083007.1265950762</v>
      </c>
      <c r="D45" s="52">
        <v>8324227.1756389569</v>
      </c>
      <c r="E45" s="43">
        <v>8599019.9729811195</v>
      </c>
      <c r="F45" s="43">
        <v>8912868.0117915273</v>
      </c>
      <c r="G45" s="43">
        <v>9272202.7300677709</v>
      </c>
      <c r="H45" s="43">
        <v>9684570.6314401366</v>
      </c>
      <c r="I45" s="43">
        <v>10158828.077610195</v>
      </c>
      <c r="J45" s="49"/>
    </row>
    <row r="46" spans="1:13" ht="15" customHeight="1" x14ac:dyDescent="0.2">
      <c r="A46" s="90"/>
      <c r="B46" s="48">
        <v>0.12</v>
      </c>
      <c r="C46" s="43">
        <v>11924137.298029443</v>
      </c>
      <c r="D46" s="43">
        <v>12224418.330103757</v>
      </c>
      <c r="E46" s="43">
        <v>12564005.524595074</v>
      </c>
      <c r="F46" s="43">
        <v>12949081.720911939</v>
      </c>
      <c r="G46" s="43">
        <v>13386874.333739219</v>
      </c>
      <c r="H46" s="43">
        <v>13885835.214654531</v>
      </c>
      <c r="I46" s="43">
        <v>14455851.190862205</v>
      </c>
      <c r="J46" s="49"/>
    </row>
    <row r="47" spans="1:13" ht="15" customHeight="1" x14ac:dyDescent="0.2">
      <c r="A47" s="90"/>
      <c r="B47" s="48">
        <v>0.15</v>
      </c>
      <c r="C47" s="43">
        <v>21565125.060050517</v>
      </c>
      <c r="D47" s="43">
        <v>21989457.318597667</v>
      </c>
      <c r="E47" s="43">
        <v>22464233.942372996</v>
      </c>
      <c r="F47" s="43">
        <v>22996924.454953883</v>
      </c>
      <c r="G47" s="43">
        <v>23596211.670964763</v>
      </c>
      <c r="H47" s="43">
        <v>24272195.080710899</v>
      </c>
      <c r="I47" s="43">
        <v>25036628.267251786</v>
      </c>
      <c r="J47" s="49"/>
    </row>
    <row r="49" spans="1:1" x14ac:dyDescent="0.2">
      <c r="A49" s="41"/>
    </row>
    <row r="50" spans="1:1" x14ac:dyDescent="0.2">
      <c r="A50" s="41"/>
    </row>
  </sheetData>
  <mergeCells count="5">
    <mergeCell ref="B3:C3"/>
    <mergeCell ref="C10:G10"/>
    <mergeCell ref="H10:K10"/>
    <mergeCell ref="A40:A47"/>
    <mergeCell ref="D5:E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BBA8-7169-234F-B970-5799DB8397D7}">
  <dimension ref="A1:O32"/>
  <sheetViews>
    <sheetView tabSelected="1" topLeftCell="G1" workbookViewId="0">
      <selection activeCell="J22" sqref="A1:O32"/>
    </sheetView>
  </sheetViews>
  <sheetFormatPr baseColWidth="10" defaultRowHeight="15" x14ac:dyDescent="0.2"/>
  <cols>
    <col min="1" max="1" width="12.33203125" customWidth="1"/>
    <col min="2" max="2" width="15" customWidth="1"/>
    <col min="4" max="4" width="15.5" customWidth="1"/>
    <col min="5" max="5" width="15.33203125" bestFit="1" customWidth="1"/>
    <col min="6" max="6" width="20.1640625" bestFit="1" customWidth="1"/>
    <col min="7" max="7" width="18" bestFit="1" customWidth="1"/>
    <col min="8" max="8" width="18.1640625" customWidth="1"/>
    <col min="9" max="9" width="17.6640625" bestFit="1" customWidth="1"/>
    <col min="12" max="12" width="17.1640625" bestFit="1" customWidth="1"/>
  </cols>
  <sheetData>
    <row r="1" spans="1:9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94</v>
      </c>
    </row>
    <row r="2" spans="1:9" x14ac:dyDescent="0.2">
      <c r="A2" t="s">
        <v>70</v>
      </c>
      <c r="B2" t="s">
        <v>73</v>
      </c>
      <c r="C2" t="s">
        <v>95</v>
      </c>
      <c r="D2" t="s">
        <v>101</v>
      </c>
      <c r="E2" t="str">
        <f>IF(AND(Table1[[#This Row],[Year at College]] = "Senior", OR(Table1[[#This Row],[Major]] = "Accounting", Table1[[#This Row],[Major]] = "Finance") ), "YES", "NO")</f>
        <v>NO</v>
      </c>
      <c r="F2" t="str">
        <f>IF(AND(Table1[[#This Row],[Year at College]]="Senior", Table1[[#This Row],[GPA]] &gt;2.5), "YES", "NO")</f>
        <v>NO</v>
      </c>
      <c r="G2" t="str">
        <f>IF(AND(Table1[[#This Row],[GPA]]&gt;3.5, OR(Table1[[#This Row],[Year at College]] = "Junior", Table1[[#This Row],[Year at College]] ="Senior")), "YES","NO")</f>
        <v>NO</v>
      </c>
      <c r="H2">
        <v>3.5</v>
      </c>
      <c r="I2" t="str">
        <f>IF(AND(Table1[[#This Row],[Year at College]] = "Senior", Table1[[#This Row],[GPA]] &gt;3.5), "YES", "NO")</f>
        <v>NO</v>
      </c>
    </row>
    <row r="3" spans="1:9" x14ac:dyDescent="0.2">
      <c r="A3" t="s">
        <v>71</v>
      </c>
      <c r="B3" t="s">
        <v>72</v>
      </c>
      <c r="C3" t="s">
        <v>96</v>
      </c>
      <c r="D3" t="s">
        <v>102</v>
      </c>
      <c r="E3" t="str">
        <f>IF(AND(Table1[[#This Row],[Year at College]] = "Senior", OR(Table1[[#This Row],[Major]] = "Accounting", Table1[[#This Row],[Major]] = "Finance") ), "YES", "NO")</f>
        <v>NO</v>
      </c>
      <c r="F3" t="str">
        <f>IF(AND(Table1[[#This Row],[Year at College]]="Senior", Table1[[#This Row],[GPA]] &gt;2.5), "YES", "NO")</f>
        <v>NO</v>
      </c>
      <c r="G3" t="str">
        <f>IF(AND(Table1[[#This Row],[GPA]]&gt;3.5, OR(Table1[[#This Row],[Year at College]] = "Junior", Table1[[#This Row],[Year at College]] ="Senior")), "YES","NO")</f>
        <v>NO</v>
      </c>
      <c r="H3">
        <v>2.2999999999999998</v>
      </c>
      <c r="I3" t="str">
        <f>IF(AND(Table1[[#This Row],[Year at College]] = "Senior", Table1[[#This Row],[GPA]] &gt;3.5), "YES", "NO")</f>
        <v>NO</v>
      </c>
    </row>
    <row r="4" spans="1:9" x14ac:dyDescent="0.2">
      <c r="A4" t="s">
        <v>74</v>
      </c>
      <c r="B4" t="s">
        <v>75</v>
      </c>
      <c r="C4" t="s">
        <v>97</v>
      </c>
      <c r="D4" t="s">
        <v>103</v>
      </c>
      <c r="E4" t="str">
        <f>IF(AND(Table1[[#This Row],[Year at College]] = "Senior", OR(Table1[[#This Row],[Major]] = "Accounting", Table1[[#This Row],[Major]] = "Finance") ), "YES", "NO")</f>
        <v>NO</v>
      </c>
      <c r="F4" t="str">
        <f>IF(AND(Table1[[#This Row],[Year at College]]="Senior", Table1[[#This Row],[GPA]] &gt;2.5), "YES", "NO")</f>
        <v>NO</v>
      </c>
      <c r="G4" t="str">
        <f>IF(AND(Table1[[#This Row],[GPA]]&gt;3.5, OR(Table1[[#This Row],[Year at College]] = "Junior", Table1[[#This Row],[Year at College]] ="Senior")), "YES","NO")</f>
        <v>NO</v>
      </c>
      <c r="H4">
        <v>3.7</v>
      </c>
      <c r="I4" t="str">
        <f>IF(AND(Table1[[#This Row],[Year at College]] = "Senior", Table1[[#This Row],[GPA]] &gt;3.5), "YES", "NO")</f>
        <v>NO</v>
      </c>
    </row>
    <row r="5" spans="1:9" x14ac:dyDescent="0.2">
      <c r="A5" t="s">
        <v>76</v>
      </c>
      <c r="B5" t="s">
        <v>77</v>
      </c>
      <c r="C5" t="s">
        <v>98</v>
      </c>
      <c r="D5" t="s">
        <v>101</v>
      </c>
      <c r="E5" t="str">
        <f>IF(AND(Table1[[#This Row],[Year at College]] = "Senior", OR(Table1[[#This Row],[Major]] = "Accounting", Table1[[#This Row],[Major]] = "Finance") ), "YES", "NO")</f>
        <v>NO</v>
      </c>
      <c r="F5" t="str">
        <f>IF(AND(Table1[[#This Row],[Year at College]]="Senior", Table1[[#This Row],[GPA]] &gt;2.5), "YES", "NO")</f>
        <v>NO</v>
      </c>
      <c r="G5" t="str">
        <f>IF(AND(Table1[[#This Row],[GPA]]&gt;3.5, OR(Table1[[#This Row],[Year at College]] = "Junior", Table1[[#This Row],[Year at College]] ="Senior")), "YES","NO")</f>
        <v>NO</v>
      </c>
      <c r="H5">
        <v>3.9</v>
      </c>
      <c r="I5" t="str">
        <f>IF(AND(Table1[[#This Row],[Year at College]] = "Senior", Table1[[#This Row],[GPA]] &gt;3.5), "YES", "NO")</f>
        <v>NO</v>
      </c>
    </row>
    <row r="6" spans="1:9" x14ac:dyDescent="0.2">
      <c r="A6" t="s">
        <v>78</v>
      </c>
      <c r="B6" t="s">
        <v>79</v>
      </c>
      <c r="C6" t="s">
        <v>99</v>
      </c>
      <c r="D6" t="s">
        <v>104</v>
      </c>
      <c r="E6" t="str">
        <f>IF(AND(Table1[[#This Row],[Year at College]] = "Senior", OR(Table1[[#This Row],[Major]] = "Accounting", Table1[[#This Row],[Major]] = "Finance") ), "YES", "NO")</f>
        <v>NO</v>
      </c>
      <c r="F6" t="str">
        <f>IF(AND(Table1[[#This Row],[Year at College]]="Senior", Table1[[#This Row],[GPA]] &gt;2.5), "YES", "NO")</f>
        <v>YES</v>
      </c>
      <c r="G6" t="str">
        <f>IF(AND(Table1[[#This Row],[GPA]]&gt;3.5, OR(Table1[[#This Row],[Year at College]] = "Junior", Table1[[#This Row],[Year at College]] ="Senior")), "YES","NO")</f>
        <v>NO</v>
      </c>
      <c r="H6">
        <v>3.1</v>
      </c>
      <c r="I6" t="str">
        <f>IF(AND(Table1[[#This Row],[Year at College]] = "Senior", Table1[[#This Row],[GPA]] &gt;3.5), "YES", "NO")</f>
        <v>NO</v>
      </c>
    </row>
    <row r="7" spans="1:9" x14ac:dyDescent="0.2">
      <c r="A7" t="s">
        <v>80</v>
      </c>
      <c r="B7" t="s">
        <v>81</v>
      </c>
      <c r="C7" t="s">
        <v>100</v>
      </c>
      <c r="D7" t="s">
        <v>104</v>
      </c>
      <c r="E7" t="str">
        <f>IF(AND(Table1[[#This Row],[Year at College]] = "Senior", OR(Table1[[#This Row],[Major]] = "Accounting", Table1[[#This Row],[Major]] = "Finance") ), "YES", "NO")</f>
        <v>NO</v>
      </c>
      <c r="F7" t="str">
        <f>IF(AND(Table1[[#This Row],[Year at College]]="Senior", Table1[[#This Row],[GPA]] &gt;2.5), "YES", "NO")</f>
        <v>YES</v>
      </c>
      <c r="G7" t="str">
        <f>IF(AND(Table1[[#This Row],[GPA]]&gt;3.5, OR(Table1[[#This Row],[Year at College]] = "Junior", Table1[[#This Row],[Year at College]] ="Senior")), "YES","NO")</f>
        <v>YES</v>
      </c>
      <c r="H7">
        <v>3.9</v>
      </c>
      <c r="I7" t="str">
        <f>IF(AND(Table1[[#This Row],[Year at College]] = "Senior", Table1[[#This Row],[GPA]] &gt;3.5), "YES", "NO")</f>
        <v>YES</v>
      </c>
    </row>
    <row r="8" spans="1:9" x14ac:dyDescent="0.2">
      <c r="A8" t="s">
        <v>82</v>
      </c>
      <c r="B8" t="s">
        <v>83</v>
      </c>
      <c r="C8" t="s">
        <v>96</v>
      </c>
      <c r="D8" t="s">
        <v>103</v>
      </c>
      <c r="E8" t="str">
        <f>IF(AND(Table1[[#This Row],[Year at College]] = "Senior", OR(Table1[[#This Row],[Major]] = "Accounting", Table1[[#This Row],[Major]] = "Finance") ), "YES", "NO")</f>
        <v>NO</v>
      </c>
      <c r="F8" t="str">
        <f>IF(AND(Table1[[#This Row],[Year at College]]="Senior", Table1[[#This Row],[GPA]] &gt;2.5), "YES", "NO")</f>
        <v>NO</v>
      </c>
      <c r="G8" t="str">
        <f>IF(AND(Table1[[#This Row],[GPA]]&gt;3.5, OR(Table1[[#This Row],[Year at College]] = "Junior", Table1[[#This Row],[Year at College]] ="Senior")), "YES","NO")</f>
        <v>NO</v>
      </c>
      <c r="H8">
        <v>2.9</v>
      </c>
      <c r="I8" t="str">
        <f>IF(AND(Table1[[#This Row],[Year at College]] = "Senior", Table1[[#This Row],[GPA]] &gt;3.5), "YES", "NO")</f>
        <v>NO</v>
      </c>
    </row>
    <row r="9" spans="1:9" x14ac:dyDescent="0.2">
      <c r="A9" t="s">
        <v>84</v>
      </c>
      <c r="B9" t="s">
        <v>85</v>
      </c>
      <c r="C9" t="s">
        <v>98</v>
      </c>
      <c r="D9" t="s">
        <v>102</v>
      </c>
      <c r="E9" t="str">
        <f>IF(AND(Table1[[#This Row],[Year at College]] = "Senior", OR(Table1[[#This Row],[Major]] = "Accounting", Table1[[#This Row],[Major]] = "Finance") ), "YES", "NO")</f>
        <v>NO</v>
      </c>
      <c r="F9" t="str">
        <f>IF(AND(Table1[[#This Row],[Year at College]]="Senior", Table1[[#This Row],[GPA]] &gt;2.5), "YES", "NO")</f>
        <v>NO</v>
      </c>
      <c r="G9" t="str">
        <f>IF(AND(Table1[[#This Row],[GPA]]&gt;3.5, OR(Table1[[#This Row],[Year at College]] = "Junior", Table1[[#This Row],[Year at College]] ="Senior")), "YES","NO")</f>
        <v>YES</v>
      </c>
      <c r="H9">
        <v>3.8</v>
      </c>
      <c r="I9" t="str">
        <f>IF(AND(Table1[[#This Row],[Year at College]] = "Senior", Table1[[#This Row],[GPA]] &gt;3.5), "YES", "NO")</f>
        <v>NO</v>
      </c>
    </row>
    <row r="10" spans="1:9" x14ac:dyDescent="0.2">
      <c r="A10" t="s">
        <v>86</v>
      </c>
      <c r="B10" t="s">
        <v>87</v>
      </c>
      <c r="C10" t="s">
        <v>99</v>
      </c>
      <c r="D10" t="s">
        <v>102</v>
      </c>
      <c r="E10" t="str">
        <f>IF(AND(Table1[[#This Row],[Year at College]] = "Senior", OR(Table1[[#This Row],[Major]] = "Accounting", Table1[[#This Row],[Major]] = "Finance") ), "YES", "NO")</f>
        <v>NO</v>
      </c>
      <c r="F10" t="str">
        <f>IF(AND(Table1[[#This Row],[Year at College]]="Senior", Table1[[#This Row],[GPA]] &gt;2.5), "YES", "NO")</f>
        <v>NO</v>
      </c>
      <c r="G10" t="str">
        <f>IF(AND(Table1[[#This Row],[GPA]]&gt;3.5, OR(Table1[[#This Row],[Year at College]] = "Junior", Table1[[#This Row],[Year at College]] ="Senior")), "YES","NO")</f>
        <v>YES</v>
      </c>
      <c r="H10">
        <v>3.75</v>
      </c>
      <c r="I10" t="str">
        <f>IF(AND(Table1[[#This Row],[Year at College]] = "Senior", Table1[[#This Row],[GPA]] &gt;3.5), "YES", "NO")</f>
        <v>NO</v>
      </c>
    </row>
    <row r="11" spans="1:9" x14ac:dyDescent="0.2">
      <c r="A11" t="s">
        <v>88</v>
      </c>
      <c r="B11" t="s">
        <v>89</v>
      </c>
      <c r="C11" t="s">
        <v>95</v>
      </c>
      <c r="D11" t="s">
        <v>104</v>
      </c>
      <c r="E11" t="str">
        <f>IF(AND(Table1[[#This Row],[Year at College]] = "Senior", OR(Table1[[#This Row],[Major]] = "Accounting", Table1[[#This Row],[Major]] = "Finance") ), "YES", "NO")</f>
        <v>YES</v>
      </c>
      <c r="F11" t="str">
        <f>IF(AND(Table1[[#This Row],[Year at College]]="Senior", Table1[[#This Row],[GPA]] &gt;2.5), "YES", "NO")</f>
        <v>NO</v>
      </c>
      <c r="G11" t="str">
        <f>IF(AND(Table1[[#This Row],[GPA]]&gt;3.5, OR(Table1[[#This Row],[Year at College]] = "Junior", Table1[[#This Row],[Year at College]] ="Senior")), "YES","NO")</f>
        <v>NO</v>
      </c>
      <c r="H11">
        <v>2.2999999999999998</v>
      </c>
      <c r="I11" t="str">
        <f>IF(AND(Table1[[#This Row],[Year at College]] = "Senior", Table1[[#This Row],[GPA]] &gt;3.5), "YES", "NO")</f>
        <v>NO</v>
      </c>
    </row>
    <row r="12" spans="1:9" x14ac:dyDescent="0.2">
      <c r="A12" t="s">
        <v>90</v>
      </c>
      <c r="B12" t="s">
        <v>93</v>
      </c>
      <c r="C12" t="s">
        <v>97</v>
      </c>
      <c r="D12" t="s">
        <v>101</v>
      </c>
      <c r="E12" t="str">
        <f>IF(AND(Table1[[#This Row],[Year at College]] = "Senior", OR(Table1[[#This Row],[Major]] = "Accounting", Table1[[#This Row],[Major]] = "Finance") ), "YES", "NO")</f>
        <v>NO</v>
      </c>
      <c r="F12" t="str">
        <f>IF(AND(Table1[[#This Row],[Year at College]]="Senior", Table1[[#This Row],[GPA]] &gt;2.5), "YES", "NO")</f>
        <v>NO</v>
      </c>
      <c r="G12" t="str">
        <f>IF(AND(Table1[[#This Row],[GPA]]&gt;3.5, OR(Table1[[#This Row],[Year at College]] = "Junior", Table1[[#This Row],[Year at College]] ="Senior")), "YES","NO")</f>
        <v>NO</v>
      </c>
      <c r="H12">
        <v>3.9</v>
      </c>
      <c r="I12" t="str">
        <f>IF(AND(Table1[[#This Row],[Year at College]] = "Senior", Table1[[#This Row],[GPA]] &gt;3.5), "YES", "NO")</f>
        <v>NO</v>
      </c>
    </row>
    <row r="13" spans="1:9" x14ac:dyDescent="0.2">
      <c r="A13" t="s">
        <v>91</v>
      </c>
      <c r="B13" t="s">
        <v>92</v>
      </c>
      <c r="C13" t="s">
        <v>100</v>
      </c>
      <c r="D13" t="s">
        <v>104</v>
      </c>
      <c r="E13" t="str">
        <f>IF(AND(Table1[[#This Row],[Year at College]] = "Senior", OR(Table1[[#This Row],[Major]] = "Accounting", Table1[[#This Row],[Major]] = "Finance") ), "YES", "NO")</f>
        <v>NO</v>
      </c>
      <c r="F13" t="str">
        <f>IF(AND(Table1[[#This Row],[Year at College]]="Senior", Table1[[#This Row],[GPA]] &gt;2.5), "YES", "NO")</f>
        <v>YES</v>
      </c>
      <c r="G13" t="str">
        <f>IF(AND(Table1[[#This Row],[GPA]]&gt;3.5, OR(Table1[[#This Row],[Year at College]] = "Junior", Table1[[#This Row],[Year at College]] ="Senior")), "YES","NO")</f>
        <v>YES</v>
      </c>
      <c r="H13">
        <v>3.85</v>
      </c>
      <c r="I13" t="str">
        <f>IF(AND(Table1[[#This Row],[Year at College]] = "Senior", Table1[[#This Row],[GPA]] &gt;3.5), "YES", "NO")</f>
        <v>YES</v>
      </c>
    </row>
    <row r="22" spans="2:15" ht="21" x14ac:dyDescent="0.2">
      <c r="B22" s="92" t="s">
        <v>107</v>
      </c>
      <c r="C22" s="92"/>
      <c r="D22" s="92"/>
      <c r="E22" s="92"/>
      <c r="F22" s="92"/>
      <c r="G22" s="92"/>
      <c r="H22" s="77"/>
      <c r="J22" s="92" t="s">
        <v>108</v>
      </c>
      <c r="K22" s="92"/>
      <c r="L22" s="92"/>
      <c r="M22" s="92"/>
      <c r="N22" s="92"/>
      <c r="O22" s="92"/>
    </row>
    <row r="23" spans="2:15" ht="21" x14ac:dyDescent="0.2">
      <c r="B23" s="92"/>
      <c r="C23" s="92"/>
      <c r="D23" s="92"/>
      <c r="E23" s="92"/>
      <c r="F23" s="92"/>
      <c r="G23" s="92"/>
      <c r="H23" s="77"/>
      <c r="J23" s="92"/>
      <c r="K23" s="92"/>
      <c r="L23" s="92"/>
      <c r="M23" s="92"/>
      <c r="N23" s="92"/>
      <c r="O23" s="92"/>
    </row>
    <row r="24" spans="2:15" ht="21" x14ac:dyDescent="0.2">
      <c r="B24" s="92"/>
      <c r="C24" s="92"/>
      <c r="D24" s="92"/>
      <c r="E24" s="92"/>
      <c r="F24" s="92"/>
      <c r="G24" s="92"/>
      <c r="H24" s="77"/>
      <c r="J24" s="92"/>
      <c r="K24" s="92"/>
      <c r="L24" s="92"/>
      <c r="M24" s="92"/>
      <c r="N24" s="92"/>
      <c r="O24" s="92"/>
    </row>
    <row r="25" spans="2:15" ht="21" x14ac:dyDescent="0.2">
      <c r="B25" s="92"/>
      <c r="C25" s="92"/>
      <c r="D25" s="92"/>
      <c r="E25" s="92"/>
      <c r="F25" s="92"/>
      <c r="G25" s="92"/>
      <c r="H25" s="77"/>
      <c r="J25" s="92"/>
      <c r="K25" s="92"/>
      <c r="L25" s="92"/>
      <c r="M25" s="92"/>
      <c r="N25" s="92"/>
      <c r="O25" s="92"/>
    </row>
    <row r="26" spans="2:15" ht="21" x14ac:dyDescent="0.2">
      <c r="B26" s="92"/>
      <c r="C26" s="92"/>
      <c r="D26" s="92"/>
      <c r="E26" s="92"/>
      <c r="F26" s="92"/>
      <c r="G26" s="92"/>
      <c r="H26" s="77"/>
      <c r="J26" s="92"/>
      <c r="K26" s="92"/>
      <c r="L26" s="92"/>
      <c r="M26" s="92"/>
      <c r="N26" s="92"/>
      <c r="O26" s="92"/>
    </row>
    <row r="27" spans="2:15" ht="21" x14ac:dyDescent="0.2">
      <c r="B27" s="92"/>
      <c r="C27" s="92"/>
      <c r="D27" s="92"/>
      <c r="E27" s="92"/>
      <c r="F27" s="92"/>
      <c r="G27" s="92"/>
      <c r="H27" s="77"/>
      <c r="J27" s="92"/>
      <c r="K27" s="92"/>
      <c r="L27" s="92"/>
      <c r="M27" s="92"/>
      <c r="N27" s="92"/>
      <c r="O27" s="92"/>
    </row>
    <row r="28" spans="2:15" ht="21" x14ac:dyDescent="0.2">
      <c r="B28" s="92"/>
      <c r="C28" s="92"/>
      <c r="D28" s="92"/>
      <c r="E28" s="92"/>
      <c r="F28" s="92"/>
      <c r="G28" s="92"/>
      <c r="H28" s="77"/>
      <c r="J28" s="92"/>
      <c r="K28" s="92"/>
      <c r="L28" s="92"/>
      <c r="M28" s="92"/>
      <c r="N28" s="92"/>
      <c r="O28" s="92"/>
    </row>
    <row r="29" spans="2:15" ht="21" x14ac:dyDescent="0.2">
      <c r="B29" s="92"/>
      <c r="C29" s="92"/>
      <c r="D29" s="92"/>
      <c r="E29" s="92"/>
      <c r="F29" s="92"/>
      <c r="G29" s="92"/>
      <c r="H29" s="77"/>
      <c r="J29" s="92"/>
      <c r="K29" s="92"/>
      <c r="L29" s="92"/>
      <c r="M29" s="92"/>
      <c r="N29" s="92"/>
      <c r="O29" s="92"/>
    </row>
    <row r="30" spans="2:15" ht="21" x14ac:dyDescent="0.2">
      <c r="B30" s="92"/>
      <c r="C30" s="92"/>
      <c r="D30" s="92"/>
      <c r="E30" s="92"/>
      <c r="F30" s="92"/>
      <c r="G30" s="92"/>
      <c r="H30" s="77"/>
      <c r="J30" s="92"/>
      <c r="K30" s="92"/>
      <c r="L30" s="92"/>
      <c r="M30" s="92"/>
      <c r="N30" s="92"/>
      <c r="O30" s="92"/>
    </row>
    <row r="31" spans="2:15" ht="21" x14ac:dyDescent="0.2">
      <c r="B31" s="92"/>
      <c r="C31" s="92"/>
      <c r="D31" s="92"/>
      <c r="E31" s="92"/>
      <c r="F31" s="92"/>
      <c r="G31" s="92"/>
      <c r="H31" s="77"/>
      <c r="J31" s="92"/>
      <c r="K31" s="92"/>
      <c r="L31" s="92"/>
      <c r="M31" s="92"/>
      <c r="N31" s="92"/>
      <c r="O31" s="92"/>
    </row>
    <row r="32" spans="2:15" ht="21" x14ac:dyDescent="0.2">
      <c r="B32" s="92"/>
      <c r="C32" s="92"/>
      <c r="D32" s="92"/>
      <c r="E32" s="92"/>
      <c r="F32" s="92"/>
      <c r="G32" s="92"/>
      <c r="H32" s="77"/>
      <c r="J32" s="92"/>
      <c r="K32" s="92"/>
      <c r="L32" s="92"/>
      <c r="M32" s="92"/>
      <c r="N32" s="92"/>
      <c r="O32" s="92"/>
    </row>
  </sheetData>
  <mergeCells count="2">
    <mergeCell ref="B22:G32"/>
    <mergeCell ref="J22:O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ROI_analysis </vt:lpstr>
      <vt:lpstr>Sensitivity_analysis </vt:lpstr>
      <vt:lpstr>More Excel functions </vt:lpstr>
    </vt:vector>
  </TitlesOfParts>
  <Company>McCombs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Wen</dc:creator>
  <cp:lastModifiedBy>Sylvester, Thalia</cp:lastModifiedBy>
  <dcterms:created xsi:type="dcterms:W3CDTF">2014-04-05T03:16:06Z</dcterms:created>
  <dcterms:modified xsi:type="dcterms:W3CDTF">2024-07-15T16:58:52Z</dcterms:modified>
</cp:coreProperties>
</file>